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autoCompressPictures="0" defaultThemeVersion="124226"/>
  <mc:AlternateContent xmlns:mc="http://schemas.openxmlformats.org/markup-compatibility/2006">
    <mc:Choice Requires="x15">
      <x15ac:absPath xmlns:x15ac="http://schemas.microsoft.com/office/spreadsheetml/2010/11/ac" url="/Users/jldp/Downloads/"/>
    </mc:Choice>
  </mc:AlternateContent>
  <xr:revisionPtr revIDLastSave="0" documentId="13_ncr:1_{FAFFA294-908F-0643-98C8-51EDAAF6DCB3}" xr6:coauthVersionLast="47" xr6:coauthVersionMax="47" xr10:uidLastSave="{00000000-0000-0000-0000-000000000000}"/>
  <bookViews>
    <workbookView xWindow="0" yWindow="780" windowWidth="36000" windowHeight="22600" xr2:uid="{00000000-000D-0000-FFFF-FFFF00000000}"/>
  </bookViews>
  <sheets>
    <sheet name="Matriz riesgos" sheetId="17" r:id="rId1"/>
    <sheet name="TABLAS VALORACIÓN" sheetId="18" r:id="rId2"/>
  </sheets>
  <definedNames>
    <definedName name="ASIGNACIÓN">'TABLAS VALORACIÓN'!$H$27:$H$28</definedName>
    <definedName name="CLASE">'TABLAS VALORACIÓN'!$C$27:$C$28</definedName>
    <definedName name="ETAPA">'TABLAS VALORACIÓN'!#REF!</definedName>
    <definedName name="FUENTE">'TABLAS VALORACIÓN'!$D$27:$D$28</definedName>
    <definedName name="IMPACTO">'TABLAS VALORACIÓN'!$G$27:$G$31</definedName>
    <definedName name="PROBABILIDAD">'TABLAS VALORACIÓN'!$F$27:$F$31</definedName>
    <definedName name="TIPO">'TABLAS VALORACIÓN'!#REF!</definedName>
    <definedName name="_xlnm.Print_Titles" localSheetId="0">'Matriz riesgos'!$A:$F,'Matriz riesgos'!$2:$5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4" i="17" l="1"/>
  <c r="W24" i="17" s="1"/>
  <c r="U24" i="17"/>
  <c r="S24" i="17"/>
  <c r="V26" i="17"/>
  <c r="W26" i="17" s="1"/>
  <c r="U26" i="17"/>
  <c r="S26" i="17"/>
  <c r="M26" i="17"/>
  <c r="N26" i="17" s="1"/>
  <c r="L26" i="17"/>
  <c r="J26" i="17"/>
  <c r="V25" i="17"/>
  <c r="W25" i="17" s="1"/>
  <c r="U25" i="17"/>
  <c r="S25" i="17"/>
  <c r="M25" i="17"/>
  <c r="N25" i="17" s="1"/>
  <c r="L25" i="17"/>
  <c r="J25" i="17"/>
  <c r="L24" i="17"/>
  <c r="J24" i="17"/>
  <c r="V23" i="17"/>
  <c r="W23" i="17" s="1"/>
  <c r="U23" i="17"/>
  <c r="S23" i="17"/>
  <c r="M23" i="17"/>
  <c r="N23" i="17" s="1"/>
  <c r="L23" i="17"/>
  <c r="J23" i="17"/>
  <c r="V22" i="17"/>
  <c r="W22" i="17" s="1"/>
  <c r="U22" i="17"/>
  <c r="S22" i="17"/>
  <c r="M22" i="17"/>
  <c r="N22" i="17" s="1"/>
  <c r="L22" i="17"/>
  <c r="J22" i="17"/>
  <c r="V21" i="17"/>
  <c r="W21" i="17" s="1"/>
  <c r="U21" i="17"/>
  <c r="S21" i="17"/>
  <c r="M21" i="17"/>
  <c r="N21" i="17" s="1"/>
  <c r="L21" i="17"/>
  <c r="J21" i="17"/>
  <c r="V20" i="17"/>
  <c r="W20" i="17" s="1"/>
  <c r="U20" i="17"/>
  <c r="S20" i="17"/>
  <c r="M20" i="17"/>
  <c r="N20" i="17" s="1"/>
  <c r="L20" i="17"/>
  <c r="J20" i="17"/>
  <c r="V19" i="17"/>
  <c r="W19" i="17" s="1"/>
  <c r="U19" i="17"/>
  <c r="S19" i="17"/>
  <c r="L19" i="17"/>
  <c r="J19" i="17"/>
  <c r="M19" i="17" s="1"/>
  <c r="N19" i="17" s="1"/>
  <c r="V18" i="17"/>
  <c r="W18" i="17" s="1"/>
  <c r="U18" i="17"/>
  <c r="S18" i="17"/>
  <c r="M18" i="17"/>
  <c r="N18" i="17" s="1"/>
  <c r="L18" i="17"/>
  <c r="J18" i="17"/>
  <c r="U17" i="17"/>
  <c r="S17" i="17"/>
  <c r="V17" i="17" s="1"/>
  <c r="W17" i="17" s="1"/>
  <c r="M17" i="17"/>
  <c r="N17" i="17" s="1"/>
  <c r="V16" i="17"/>
  <c r="W16" i="17" s="1"/>
  <c r="L16" i="17"/>
  <c r="J16" i="17"/>
  <c r="M16" i="17" s="1"/>
  <c r="N16" i="17" s="1"/>
  <c r="V15" i="17"/>
  <c r="W15" i="17" s="1"/>
  <c r="M15" i="17"/>
  <c r="N15" i="17" s="1"/>
  <c r="M24" i="17" l="1"/>
  <c r="N24" i="17" s="1"/>
  <c r="U8" i="17"/>
  <c r="S8" i="17"/>
  <c r="M8" i="17"/>
  <c r="N8" i="17" s="1"/>
  <c r="L8" i="17"/>
  <c r="J8" i="17"/>
  <c r="V8" i="17" l="1"/>
  <c r="W8" i="17" s="1"/>
  <c r="V6" i="17"/>
  <c r="W6" i="17" s="1"/>
  <c r="U6" i="17"/>
  <c r="S6" i="17"/>
  <c r="L6" i="17"/>
  <c r="J6" i="17"/>
  <c r="M6" i="17" s="1"/>
  <c r="N6" i="17" s="1"/>
  <c r="U11" i="17" l="1"/>
  <c r="S11" i="17"/>
  <c r="M11" i="17"/>
  <c r="N11" i="17" s="1"/>
  <c r="L11" i="17"/>
  <c r="J11" i="17"/>
  <c r="U9" i="17"/>
  <c r="S9" i="17"/>
  <c r="M9" i="17"/>
  <c r="N9" i="17" s="1"/>
  <c r="L9" i="17"/>
  <c r="J9" i="17"/>
  <c r="V9" i="17" l="1"/>
  <c r="W9" i="17" s="1"/>
  <c r="V11" i="17"/>
  <c r="W11" i="17" s="1"/>
  <c r="J7" i="17"/>
  <c r="L7" i="17"/>
  <c r="M7" i="17"/>
  <c r="N7" i="17" s="1"/>
  <c r="S7" i="17"/>
  <c r="U7" i="17"/>
  <c r="V7" i="17"/>
  <c r="W7" i="17" s="1"/>
  <c r="J13" i="17"/>
  <c r="L13" i="17"/>
  <c r="M13" i="17"/>
  <c r="N13" i="17" s="1"/>
  <c r="S13" i="17"/>
  <c r="U13" i="17"/>
  <c r="U14" i="17"/>
  <c r="S14" i="17"/>
  <c r="M14" i="17"/>
  <c r="N14" i="17" s="1"/>
  <c r="L14" i="17"/>
  <c r="J14" i="17"/>
  <c r="V12" i="17"/>
  <c r="W12" i="17" s="1"/>
  <c r="U12" i="17"/>
  <c r="S12" i="17"/>
  <c r="M12" i="17"/>
  <c r="N12" i="17" s="1"/>
  <c r="L12" i="17"/>
  <c r="J12" i="17"/>
  <c r="V10" i="17"/>
  <c r="W10" i="17" s="1"/>
  <c r="U10" i="17"/>
  <c r="S10" i="17"/>
  <c r="M10" i="17"/>
  <c r="N10" i="17" s="1"/>
  <c r="L10" i="17"/>
  <c r="J10" i="17"/>
  <c r="V13" i="17" l="1"/>
  <c r="W13" i="17" s="1"/>
  <c r="V14" i="17"/>
  <c r="W14" i="17" s="1"/>
</calcChain>
</file>

<file path=xl/sharedStrings.xml><?xml version="1.0" encoding="utf-8"?>
<sst xmlns="http://schemas.openxmlformats.org/spreadsheetml/2006/main" count="470" uniqueCount="267">
  <si>
    <t>MATRIZ PARA LA TIPIFICACIÓN, ESTIMACIÓN Y ASIGNACIÓN DE RIESGOS PREVISIBLES PARA 
“PRESTAR LOS SERVICIOS DE TELECOMUNICACIONES DE RED CORPORATIVA WAN-LAN, SEGURIDAD INFORMÁTICA Y VIDEOCONFERENCIA PARA LA FISCALÍA GENERAL DE LA NACIÓN.”.</t>
  </si>
  <si>
    <t>TIPIFICACIÓN DEL RIESGO: ETAPA CONTRACTUAL Y POST CONTRACTUAL</t>
  </si>
  <si>
    <t>CARACTERIZACIÓN DEL RIESGO</t>
  </si>
  <si>
    <t>ASIGNACIÓN DEL RIESGO</t>
  </si>
  <si>
    <t>MONITOREO Y GESTIÓN DEL RIESGO</t>
  </si>
  <si>
    <t>FUENTE</t>
  </si>
  <si>
    <t>Etapa</t>
  </si>
  <si>
    <t>TIPO</t>
  </si>
  <si>
    <t>DESCRIPCIÓN</t>
  </si>
  <si>
    <t>CONSECUENCIA</t>
  </si>
  <si>
    <t>PROBABILIDAD</t>
  </si>
  <si>
    <t>IMPACTO</t>
  </si>
  <si>
    <t>TRATAMIENTO - (CONTROLES A SER IMPLEMENTADOS)</t>
  </si>
  <si>
    <t>MANEJO DEL RIESGO</t>
  </si>
  <si>
    <t>MONITOREO</t>
  </si>
  <si>
    <t>Calif.  (1- 5)</t>
  </si>
  <si>
    <t>Nivel  Probab.</t>
  </si>
  <si>
    <t>Nivel Impacto</t>
  </si>
  <si>
    <t>Calif</t>
  </si>
  <si>
    <t>Nivel Riesgo</t>
  </si>
  <si>
    <t>FGN</t>
  </si>
  <si>
    <t>Nivel de probabilidad</t>
  </si>
  <si>
    <t>Nivel de Impacto</t>
  </si>
  <si>
    <t>Persona responsable del tratamiento</t>
  </si>
  <si>
    <t>Fecha estimada inicio tratamiento</t>
  </si>
  <si>
    <t>Fecha estimada terminación tratamiento</t>
  </si>
  <si>
    <t>¿Cómo se realiza el monitoreo?</t>
  </si>
  <si>
    <t>Periodicidad - ¿Cuándo?</t>
  </si>
  <si>
    <t>General</t>
  </si>
  <si>
    <t>Interno</t>
  </si>
  <si>
    <t>Operacionales</t>
  </si>
  <si>
    <t xml:space="preserve">Que el día del cierre no se presenten proponentes al proceso </t>
  </si>
  <si>
    <t>Se declara desierto el proceso de contratación.
Reprocesos Administrativos</t>
  </si>
  <si>
    <t>Sí</t>
  </si>
  <si>
    <t>Entidad</t>
  </si>
  <si>
    <t>Desde la publicación de manifestación de la necesidad</t>
  </si>
  <si>
    <t>Cierre de la presentación de ofertas</t>
  </si>
  <si>
    <t xml:space="preserve">Atención y respuesta a las observaciones - generación de adendas si se requiere. </t>
  </si>
  <si>
    <t>Permanente</t>
  </si>
  <si>
    <t>Selección - Contratación - Ejecución</t>
  </si>
  <si>
    <t xml:space="preserve">Conductas relacionadas con posibles actos de corrupción del proponente o contratista. </t>
  </si>
  <si>
    <t xml:space="preserve">Afectación al proceso de selección o en la ejecución contractual o poscontractual.
Sanciones penales 
Afectación de la imagen de la Entidad. </t>
  </si>
  <si>
    <t>Contratista
Supervisor del contrato por parte de la Entidad</t>
  </si>
  <si>
    <t xml:space="preserve"> Presentación de la Oferta. </t>
  </si>
  <si>
    <t>Entidad: Una vez Firmado el compromiso
Contratista: terminación del contrato</t>
  </si>
  <si>
    <t>Informe supervisión del contrato</t>
  </si>
  <si>
    <t xml:space="preserve">Entidad: Una sola vez
Contratista: permanente. </t>
  </si>
  <si>
    <t>Específico</t>
  </si>
  <si>
    <t>Externo</t>
  </si>
  <si>
    <t>Contratación - Ejecución</t>
  </si>
  <si>
    <t>Económicos</t>
  </si>
  <si>
    <t>Contratista
Entidad</t>
  </si>
  <si>
    <t>Presentación de la oferta</t>
  </si>
  <si>
    <t>Terminación de ejecución del contrato</t>
  </si>
  <si>
    <t>Informes de supervisión del contrato</t>
  </si>
  <si>
    <t>Tanto el contratista como la Entidad deben cumplir con las fechas establecidas en el proceso para la etapa de suscripción y perfeccionamiento del contrato.</t>
  </si>
  <si>
    <t>Contratista
Entidad</t>
  </si>
  <si>
    <t>Con la etapa precontractual</t>
  </si>
  <si>
    <t>Con el Perfeccionamiento del Contrato.</t>
  </si>
  <si>
    <t>Cumplimiento del cronograma</t>
  </si>
  <si>
    <t>Cambios en las tarifas, tributos, mercados regulados, expedición de nuevas normas, entre otros, que afecten la ejecución del contrato</t>
  </si>
  <si>
    <t>Ejecución</t>
  </si>
  <si>
    <t>Tecnológico</t>
  </si>
  <si>
    <t>Contratista</t>
  </si>
  <si>
    <t>Inicio de la ejecución del contrato</t>
  </si>
  <si>
    <t>Terminación del contrato</t>
  </si>
  <si>
    <t>A través de actividades de seguimiento y control reportadas al supervisor del contrato</t>
  </si>
  <si>
    <t>Del inicio del proceso de selección</t>
  </si>
  <si>
    <t xml:space="preserve">Documentos aportados y reporte del análisis realizado. </t>
  </si>
  <si>
    <t>Contratista: Permanente
Entidad: En caso de presentarse la eventualidad</t>
  </si>
  <si>
    <t>Sociales / Políticos</t>
  </si>
  <si>
    <t xml:space="preserve">Confinamiento total o parcial decretado por el Gobierno Nacional o Local a causa de cualquier tipo de pandemia, que afecte la salud de las partes interesadas dentro del proceso. </t>
  </si>
  <si>
    <t>Análisis de la situación por parte del contratista y la entidad  y tomar las medidas a que haya lugar</t>
  </si>
  <si>
    <t>Inicio de ejecución del contrato</t>
  </si>
  <si>
    <t>Informe de supervisión del contrato con el registro del análisis realizado</t>
  </si>
  <si>
    <t>Cuando se requiera</t>
  </si>
  <si>
    <t>Regulatorios</t>
  </si>
  <si>
    <t>PROBABLE</t>
  </si>
  <si>
    <t>CATASTRÓFICO</t>
  </si>
  <si>
    <t>POSIBLE</t>
  </si>
  <si>
    <t>MAYOR</t>
  </si>
  <si>
    <t xml:space="preserve">Verificación de estudios previos y trámites de vigencias futuras </t>
  </si>
  <si>
    <t>MODERADO</t>
  </si>
  <si>
    <t>No</t>
  </si>
  <si>
    <t>IMPROBABLE</t>
  </si>
  <si>
    <t>Operacional</t>
  </si>
  <si>
    <t>Social - Político</t>
  </si>
  <si>
    <t>Semestral</t>
  </si>
  <si>
    <t>Visitas técnicas previas al aprovisionamiento</t>
  </si>
  <si>
    <t>TABLAS PARA VALORACIÓN DE RIESGO SEGÚN METODOLOGÍA CCE</t>
  </si>
  <si>
    <t>Clase del Riesgo</t>
  </si>
  <si>
    <t>Descripción</t>
  </si>
  <si>
    <t>Etapa del proceso</t>
  </si>
  <si>
    <t>Desde</t>
  </si>
  <si>
    <t>Hasta</t>
  </si>
  <si>
    <t>Tipo de riesgo</t>
  </si>
  <si>
    <t>Planeación</t>
  </si>
  <si>
    <t>Plan anual de adquisición</t>
  </si>
  <si>
    <t xml:space="preserve"> Acto de Apertura del Proceso de
Contratación</t>
  </si>
  <si>
    <t>Riesgos Económicos:</t>
  </si>
  <si>
    <t>son los derivados del comportamiento del mercado, tales como la fluctuación
de los precios de los insumos, desabastecimiento y especulación de los mismos, entre otros.</t>
  </si>
  <si>
    <t>Riesgos Sociales o Políticos</t>
  </si>
  <si>
    <t>son los derivados de los cambios de las políticas gubernamentales y de
cambios en las condiciones sociales que tengan impacto en la ejecución del contrato.</t>
  </si>
  <si>
    <t>Riesgos Operacionales</t>
  </si>
  <si>
    <t xml:space="preserve">son los asociados a la operatividad del contrato, tales como la suficiencia del
presupuesto oficial, del plazo o los derivados de procesos, procedimientos, parámetros, sistemas de información y tecnológicos, equipos humanos o técnicos inadecuados o insuficientes. </t>
  </si>
  <si>
    <t>Fuente del Riesgo</t>
  </si>
  <si>
    <t>Selección</t>
  </si>
  <si>
    <t xml:space="preserve"> Adjudicación o la declaración de desierto del Proceso de Contratación</t>
  </si>
  <si>
    <t>En la etapa de selección la Entidad Estatal selecciona al contratista. En esta etapa los Riesgos frecuentes son los siguientes:
(i) Falta de capacidad de la Entidad Estatal para promover y adelantar la selección del contratista,
incluyendo el riesgo de seleccionar aquellos que no cumplan con la totalidad de los requisitos
habilitantes o se encuentren incursos en alguna inhabilidad o incompatibilidad.
(ii) Riesgo de colusión.
(iii) Riesgo de ofertas artificialmente bajas.</t>
  </si>
  <si>
    <t xml:space="preserve">Riesgos Financieros: </t>
  </si>
  <si>
    <t>son (i) el riesgo de consecución de financiación o riesgo de liquidez para
obtener recursos para cumplir con el objeto del contrato, y (ii) el riesgo de las condiciones financieras
establecidas para la obtención de los recursos, tales como plazos, tasas, garantías, contragarantías,
y refinanciaciones, entre otros.</t>
  </si>
  <si>
    <t xml:space="preserve">es un Riesgo asociado a la operación, capacidad, o situación particular de la Entidad Estatal
(reputacional, tecnológico). </t>
  </si>
  <si>
    <t>Contratación</t>
  </si>
  <si>
    <t xml:space="preserve"> Adjudicación del contrato objeto del proceso de contratación</t>
  </si>
  <si>
    <t>Perfeccionamiento</t>
  </si>
  <si>
    <t xml:space="preserve"> En esta etapa los Riesgos frecuentes son los siguientes:
(i) Riesgo de que no se firme el contrato.
(ii) Riesgo de que no se presenten las garantías requeridas en los Documentos del Proceso de
Contratación o que su presentación sea tardía.
(iii) Riesgos asociados al incumplimiento de la publicación o el registro presupuestal del contrato.
(iv) Riesgos asociados a los reclamos de terceros sobre la selección del oferente que retrasen el
perfeccionamiento del contrato.</t>
  </si>
  <si>
    <t>Riesgos Regulatorios</t>
  </si>
  <si>
    <t xml:space="preserve">derivados de cambios regulatorios o reglamentarios que afecten la ecuación
económica del contrato. </t>
  </si>
  <si>
    <t>es un Riesgo del sector del objeto del Proceso de Contratación, o asociado a asuntos no referidos a la Entidad Estatal (desastres económicos, existencia de monopolios, circunstancias electorales).</t>
  </si>
  <si>
    <t>Vencimiento del plazo o acta de liquidación</t>
  </si>
  <si>
    <t>Esta etapa puede extenderse cuando hay lugar a garantías de calidad, estabilidad y
mantenimiento, o a condiciones de disposición final o recuperación ambiental de las obras o bienes.
En esta etapa se cumplen con las obligaciones previstas en el contrato, permitiendo el logro del
objeto del Proceso de Contratación; en consecuencia los Riesgos frecuentes son los asociados al
cumplimiento del contrato y el logro del objeto propuesto, el rompimiento del equilibrio económico
del contrato, los asociados a la liquidación y terminación del contrato y aquellos relacionados con el
incumplimiento de la normativa posconsumo.</t>
  </si>
  <si>
    <t xml:space="preserve">Riesgos de la Naturaleza: </t>
  </si>
  <si>
    <t xml:space="preserve">son los eventos naturales previsibles en los cuales no hay intervención humana
que puedan tener impacto en la ejecución del contrato, por ejemplo los temblores, inundaciones,
lluvias, sequías, entre otros. </t>
  </si>
  <si>
    <t xml:space="preserve"> Riesgos Ambientales: </t>
  </si>
  <si>
    <t xml:space="preserve">son los derivados de las obligaciones legales o reglamentarias de carácter ambiental, así como de las licencias, planes de manejo o de permisos y autorizaciones ambientales, incluyendo tasas retributivas y compensatorias, obligaciones de mitigación, tareas de monitoreo y control, entre otras. </t>
  </si>
  <si>
    <t xml:space="preserve">Riesgos Tecnológicos: </t>
  </si>
  <si>
    <t>son los derivados de fallas en los sistemas de comunicación de voz y de datos, suspensión de servicios públicos, nuevos desarrollos tecnológicos o estándares que deben ser tenidos en cuenta para la ejecución del contrato, obsolescencia tecnológica</t>
  </si>
  <si>
    <t>Probabilidad del Riesgo</t>
  </si>
  <si>
    <t>Impacto del riesgo</t>
  </si>
  <si>
    <t>Impacto</t>
  </si>
  <si>
    <t>Categoría del riesgo</t>
  </si>
  <si>
    <t>Categoría</t>
  </si>
  <si>
    <t>Valoración  </t>
  </si>
  <si>
    <t>Clasificación Cualitativa</t>
  </si>
  <si>
    <t>Obstruye la ejecución del contrato de manera intrascendente.</t>
  </si>
  <si>
    <t>Dificulta la ejecución del contrato de manera baja. Aplicando medidas mínimas se puede lograr el objeto contractual.</t>
  </si>
  <si>
    <t>Afecta la ejecución del contrato sin alterar el beneficio de las partes.</t>
  </si>
  <si>
    <t>Perturba la ejecución del contrato de manera grave imposibilitando la consecución del objeto contractual.</t>
  </si>
  <si>
    <t>Valoración del riesgo</t>
  </si>
  <si>
    <t>Probabilidad</t>
  </si>
  <si>
    <t xml:space="preserve">  Raro (puede ocurrir excepcionalmente)  </t>
  </si>
  <si>
    <t>Clasificación Monetaria</t>
  </si>
  <si>
    <t>Los sobrecostos no representan más del cinco por ciento (5%) del valor del contrato.</t>
  </si>
  <si>
    <t>Genera un impacto sobre el valor del contrato entre el cinco (5%) y el quince por ciento (15%).</t>
  </si>
  <si>
    <t>Incrementa el valor del contrato entre el quince (15%) y el treinta por ciento (30%).</t>
  </si>
  <si>
    <t>Impacto sobre el valor del contrato de más del treinta por ciento (30%).</t>
  </si>
  <si>
    <t>8,9,10</t>
  </si>
  <si>
    <t>Riesgo Extremo</t>
  </si>
  <si>
    <t xml:space="preserve"> Improbable (puede ocurrir ocasionalmente)</t>
  </si>
  <si>
    <t>Valoración</t>
  </si>
  <si>
    <t xml:space="preserve">Insignificante </t>
  </si>
  <si>
    <t>Menor</t>
  </si>
  <si>
    <t xml:space="preserve">Moderado </t>
  </si>
  <si>
    <t>Mayor</t>
  </si>
  <si>
    <t>Catastrófico</t>
  </si>
  <si>
    <t>6 Y 7</t>
  </si>
  <si>
    <t>Riesgo Alto</t>
  </si>
  <si>
    <t>Posible (puede ocurrir en cualquier momento futuro)</t>
  </si>
  <si>
    <t>Riesgo Medio</t>
  </si>
  <si>
    <t xml:space="preserve">Probable (probablemente va a ocurrir)                                          </t>
  </si>
  <si>
    <t>2,3 Y 4</t>
  </si>
  <si>
    <t>Riesgo Bajo</t>
  </si>
  <si>
    <t>Casi cierto (ocurre en la mayoría de circunstancias)              </t>
  </si>
  <si>
    <t>¿Afecta la ejecución del contrato?</t>
  </si>
  <si>
    <t>Responsable por implementar el tratamiento</t>
  </si>
  <si>
    <t>Fuente: Agencia Nacional para la Contratación Pública – Colombia Compra Eficiente, http://www.colombiacompra.gov.co/es/manuales-y-documentos-tipo, disponible en internet, fecha de consulta 23 de enero de 2016.</t>
  </si>
  <si>
    <t>Si</t>
  </si>
  <si>
    <t>ICBF</t>
  </si>
  <si>
    <t>ICBF y Contratista</t>
  </si>
  <si>
    <t>CLASE</t>
  </si>
  <si>
    <t>¿A quién se le asigna?</t>
  </si>
  <si>
    <t>1=Raro</t>
  </si>
  <si>
    <t xml:space="preserve">1= Insignificante </t>
  </si>
  <si>
    <t>2=Improbable</t>
  </si>
  <si>
    <t>2= Menor</t>
  </si>
  <si>
    <t>3=Posible</t>
  </si>
  <si>
    <t xml:space="preserve">3= Moderado </t>
  </si>
  <si>
    <t>4=Probable</t>
  </si>
  <si>
    <t>4= Mayor</t>
  </si>
  <si>
    <t>5=Casi cierto</t>
  </si>
  <si>
    <t>5= Catastrófico</t>
  </si>
  <si>
    <t>Acceso no autorizado, alteración, pérdida, fuga o divulgación indebida de información institucional, datos personales o información clasificada administrada o tratada durante la ejecución del contrato.</t>
  </si>
  <si>
    <t>Incidentes de seguridad de la información, afectación de la confidencialidad, integridad o disponibilidad de los datos institucionales, sanciones regulatorias y afectación reputacional para la Entidad.</t>
  </si>
  <si>
    <t>Implementar controles de seguridad lógica y física, gestión de accesos, monitoreo de eventos, cifrado, respaldo de información, gestión de vulnerabilidades y planes de respuesta a incidentes alineados con las políticas institucionales de seguridad.</t>
  </si>
  <si>
    <t>Errores, omisiones o configuraciones incorrectas por parte del contratista durante la implementación, administración, soporte o mantenimiento de los servicios objeto del contrato</t>
  </si>
  <si>
    <t>Interrupciones del servicio, reprocesos, incumplimiento de niveles de servicio, afectación de la operación institucional y posibles sobrecostos operativos.</t>
  </si>
  <si>
    <t>Aplicar procedimientos de control de cambios, revisión técnica, pruebas previas a producción, validaciones cruzadas y mecanismos de aseguramiento de calidad antes de implementar cualquier modificación.</t>
  </si>
  <si>
    <t>Dependencia de una única ruta física o lógica de conectividad entre los enlaces principal y de respaldo, que impida la continuidad del servicio ante una falla de infraestructura.</t>
  </si>
  <si>
    <t>Indisponibilidad total o parcial de los servicios de telecomunicaciones y afectación de la continuidad operativa de la Entidad.</t>
  </si>
  <si>
    <t>Garantizar diversidad física y lógica de rutas, realizar pruebas periódicas de failover, monitoreo continuo de los enlaces y validación permanente de la arquitectura de redundancia.</t>
  </si>
  <si>
    <t>Ocurrencia de eventos externos asegurables que afecten la infraestructura, equipos o servicios contratados.</t>
  </si>
  <si>
    <t>Interrupción temporal de servicios y necesidad de ejecutar actividades de recuperación o reposición.</t>
  </si>
  <si>
    <t>Mantener vigentes pólizas y coberturas aplicables, implementar planes de continuidad y recuperación y ejecutar procedimientos de contingencia previamente definidos.</t>
  </si>
  <si>
    <t>Degradación del desempeño de los servicios de conectividad derivada de congestión, insuficiencia de capacidad o deficiencias de diseño y operación de la red.</t>
  </si>
  <si>
    <t>Incumplimiento de ANS, deterioro de la experiencia de usuario y afectación de los sistemas institucionales.</t>
  </si>
  <si>
    <t>Monitorear capacidad y desempeño, realizar análisis de crecimiento, ampliar recursos cuando sea necesario y ejecutar acciones preventivas para evitar congestiones.</t>
  </si>
  <si>
    <t>Materialización de ciberataques, campañas de denegación de servicio, malware o explotación de vulnerabilidades que afecten la infraestructura tecnológica administrada por el contratista.</t>
  </si>
  <si>
    <t>Afectación de la disponibilidad, integridad y confidencialidad de la información y de los servicios institucionales.</t>
  </si>
  <si>
    <t>Operar controles de seguridad multicapa, monitoreo SOC 24x7, gestión de vulnerabilidades, actualización de plataformas y ejecución de planes de respuesta a incidentes.</t>
  </si>
  <si>
    <t>Insuficiencia de mecanismos de monitoreo, observabilidad o registro de eventos que impidan identificar oportunamente fallas o verificar el cumplimiento de ANS.</t>
  </si>
  <si>
    <t>Detección tardía de incidentes, controversias sobre el desempeño del servicio y afectación del control contractual.</t>
  </si>
  <si>
    <t>Garantizar integración con la plataforma institucional de observabilidad e ITSM, monitoreo permanente, generación de métricas y conciliación periódica de ANS.</t>
  </si>
  <si>
    <t>Demoras, fallas o inconsistencias durante el proceso de transición entre el operador saliente y el nuevo prestador de los servicios.</t>
  </si>
  <si>
    <t>Interrupción de servicios, retrasos en la puesta en operación y afectación de la continuidad institucional.</t>
  </si>
  <si>
    <t>Ejecutar un plan formal de transición, realizar pruebas por sede, gestionar entrega de información técnica y validar cada activación antes de retirar servicios existentes.</t>
  </si>
  <si>
    <t>Ocurrencia de eventos extraordinarios e imprevisibles no asegurables que afecten la ejecución del contrato.</t>
  </si>
  <si>
    <t>Suspensión temporal, reprogramación de actividades o imposibilidad de ejecutar determinadas obligaciones.</t>
  </si>
  <si>
    <t>Activar planes de contingencia, evaluar impactos, documentar los eventos y adoptar las medidas contractuales y operativas necesarias para restablecer la ejecución.</t>
  </si>
  <si>
    <t>Obsolescencia tecnológica, pérdida de soporte del fabricante o indisponibilidad de repuestos y recursos especializados necesarios para la operación de la infraestructura.</t>
  </si>
  <si>
    <t>Incremento de riesgo operativo, mayores tiempos de recuperación e impacto sobre la continuidad de los servicios.</t>
  </si>
  <si>
    <t>Garantizar soporte vigente de fabricantes, mantener inventario de reemplazo, actualizar plataformas y asegurar disponibilidad de personal certificado.</t>
  </si>
  <si>
    <t>Deficiencias en la infraestructura física, eléctrica o ambiental de las sedes de la Fiscalía que impidan la instalación, operación o mantenimiento adecuado de los servicios contratados.</t>
  </si>
  <si>
    <t>Retrasos de implementación, indisponibilidad de servicios y posibles controversias sobre el cumplimiento de ANS.</t>
  </si>
  <si>
    <t>Realizar visitas técnicas previas, garantizar condiciones locativas adecuadas, disponibilidad de energía, UPS, accesos y adecuaciones requeridas para la operación de los servicios.</t>
  </si>
  <si>
    <t>Permanente y con revisión mensual en comité técnico.</t>
  </si>
  <si>
    <t>Contratista
Entidad
Interventor</t>
  </si>
  <si>
    <t>Permanente y previo al aprovisionamiento de nuevas sedes.</t>
  </si>
  <si>
    <t>Verificación de condiciones locativas, energía regulada, UPS, conectividad interna y adecuaciones requeridas para la operación de los servicios.</t>
  </si>
  <si>
    <t>Verificación de soporte de fabricante, inventario de repuestos, versiones soportadas y certificaciones técnicas vigentes. Por la Interventoría Integral y supervisor de la FGN</t>
  </si>
  <si>
    <t>Evaluación de eventos reportados y de medidas de recuperación implementadas.</t>
  </si>
  <si>
    <t>Cuando ocurra el evento.</t>
  </si>
  <si>
    <t>Seguimiento al plan de transición, actas de migración, PAT y avance por sedes.</t>
  </si>
  <si>
    <t>Semanal durante la transición.</t>
  </si>
  <si>
    <t>Validación de telemetría, registros, indicadores de disponibilidad y métricas de ANS desde la plataforma de observabilidad institucional.</t>
  </si>
  <si>
    <t>Mensual.</t>
  </si>
  <si>
    <t>Revisión de eventos SOC, incidentes de seguridad, informes SIEM/SOAR, vulnerabilidades críticas y cumplimiento de ANS de ciberseguridad.</t>
  </si>
  <si>
    <t>Permanente y revisión mensual.</t>
  </si>
  <si>
    <t>Seguimiento de latencia, jitter, pérdida de paquetes, utilización de enlaces y cumplimiento de ANS registrados en la plataforma institucional.</t>
  </si>
  <si>
    <t>Semestral o cuando se presente el evento.</t>
  </si>
  <si>
    <t>Verificación de vigencia de pólizas y gestión de eventos reportados.</t>
  </si>
  <si>
    <t>Validación de certificaciones de diversidad física, pruebas de failover, resultados de conmutación y reportes de disponibilidad obtenidos desde la plataforma institucional de observabilidad.</t>
  </si>
  <si>
    <t>Semestral para pruebas de conmutación y permanente para disponibilidad.</t>
  </si>
  <si>
    <t>Revisión de entregables, control de cambios, evidencias de implementación, actas de validación y cumplimiento de ANS.</t>
  </si>
  <si>
    <t>Permanente y revisión mensual por Interventoría.</t>
  </si>
  <si>
    <t>Validación de incidentes de seguridad, registros de auditoría, eventos del SOC 24x7, informes de vulnerabilidades y cumplimiento de políticas de seguridad de la información.</t>
  </si>
  <si>
    <t>No suscripción, perfeccionamiento, legalización oportuna del contrato o constitución de las garantías exigidas, así como cualquier situación de carácter procedimental o administrativo que afecte el cumplimiento del cronograma precontractual.</t>
  </si>
  <si>
    <t>Retrasos en el cronograma del proceso de selección, aplazamiento del inicio de la ejecución contractual y afectación de la oportunidad de la prestación de los servicios requeridos por la Entidad.</t>
  </si>
  <si>
    <t>Fallas, degradaciones o indisponibilidades en los componentes de conectividad, infraestructura WAN-LAN, cableado estructurado, equipos activos de red o plataformas tecnológicas administradas por el contratista que afecten la operación normal de los servicios tecnológicos institucionales.</t>
  </si>
  <si>
    <t>Imposibilidad o retraso en la obtención, aprobación o disponibilidad de las vigencias futuras o demás autorizaciones presupuestales requeridas para garantizar la continuidad del proceso contractual y de los servicios asociados al proyecto ARCANUS.</t>
  </si>
  <si>
    <t>Retrasos en la apertura o adjudicación del proceso, afectación de la continuidad contractual de los servicios de telecomunicaciones institucionales y riesgo de interrupción de los servicios tecnológicos que soportan la operación misional de la Entidad.</t>
  </si>
  <si>
    <t>Gestionar oportunamente los trámites de vigencias futuras y demás autorizaciones presupuestales requeridas, realizar seguimiento permanente a su aprobación, coordinar las actividades con las dependencias financieras y de planeación y adoptar mecanismos de contingencia que permitan garantizar la continuidad de los servicios durante los procesos de transición contractual.</t>
  </si>
  <si>
    <t>Realizar y revisar las observaciones frente  a las condiciones técnicas y la manifestación  de  la  necesidad  con  el fin  de  que  las  reglas  del proceso sean claras para todos los interesados
Revisar los factores que pudieron afectar la participación (por ejemplo, requisitos excesivamente restrictivos, presupuesto irreal, condiciones contractuales poco atractivas, o falta de claridad en el objeto del contrato) con el fin de corregir los posibles obstáculos antes de intentar nuevamente la contratación.</t>
  </si>
  <si>
    <t>El contratista deberá realizar la estructuración financiera de su oferta considerando posibles variaciones de la TRM durante la ejecución contractual, incorporar mecanismos de cobertura o contingencia financiera cuando aplique y efectuar seguimiento permanente al comportamiento de la tasa de cambio. 
La Entidad, mediante la supervisión, verificará periódicamente el estado de ejecución y los posibles impactos asociados a la variación cambiaria.</t>
  </si>
  <si>
    <t xml:space="preserve">Estar atentos a los cambios normativos que se puedan presentar y que afecten al sector e informar a las partes interesadas cuando se requiera y tomar las medidas a que haya lugar. </t>
  </si>
  <si>
    <t>Retraso a los plazos establecidos en el cronograma para la entrega de los servicios contratados
Afectación del servicio</t>
  </si>
  <si>
    <t>Insuficiencia de liquidez, capital de trabajo o deterioro de la capacidad financiera del contratista que afecte su capacidad para ejecutar oportunamente las obligaciones contractuales y mantener la operación de los servicios gestionados durante la vigencia del contrato.</t>
  </si>
  <si>
    <t xml:space="preserve">Retrasos en la prestación de los servicios, disminución de la capacidad operativa, incumplimiento de los Acuerdos de Niveles de Servicio (ANS), necesidad de implementar medidas de contingencia, suspensión parcial de actividades o eventual incumplimiento contractual.
</t>
  </si>
  <si>
    <t>Mantener una planeación financiera adecuada durante toda la vigencia contractual, garantizando la disponibilidad de liquidez, capital de trabajo y recursos suficientes para soportar la operación, los niveles de servicio y las obligaciones contractuales. Reportar oportunamente a la Entidad cualquier situación que pueda afectar la sostenibilidad financiera del contrato y adoptar las medidas correctivas necesarias para evitar impactos en la prestación de los servicios.</t>
  </si>
  <si>
    <t>IMPACTO DESPUÉS DEL TRATAMIENTO</t>
  </si>
  <si>
    <t>VALORACIÓN - CATEGORÍA</t>
  </si>
  <si>
    <t>ASIGNACIÓN</t>
  </si>
  <si>
    <t>No.</t>
  </si>
  <si>
    <t>Contrat.</t>
  </si>
  <si>
    <t>Devaluación o revaluación del tipo de cambio que afecta el precio de la contratación, lo cual incide en los precios de los bienes en el mercado.</t>
  </si>
  <si>
    <t>Que no se puedan adquirir los servicios requeridos por la Entidad en los tiempos establecidos en el cronograma.
Incremento de los costos de los servicios
Incumplimiento contractual si la variación cambiaria supera los márgenes previstos por el contratista</t>
  </si>
  <si>
    <t>Suspensión del contrato
Afectación en la ejecución del contrato
Que estos cambios normativos impliquen un mayor costo en la adquisición de los servicios.
Que la cantidad esperada de los bienes no se pueda adquirir</t>
  </si>
  <si>
    <t>Interrupción parcial o total de los servicios de conectividad institucional, afectación del acceso a aplicaciones y sistemas de información, incumplimiento de los Acuerdos de Niveles de Servicio (ANS), disminución de la continuidad operativa y posible afectación de los procesos misionales y administrativos de la Entidad.</t>
  </si>
  <si>
    <t>Implementar mecanismos permanentes de monitoreo, administración proactiva y gestión de incidentes sobre la infraestructura de red y comunicaciones. Realizar mantenimiento preventivo y correctivo de los componentes tecnológicos, monitoreo continuo de disponibilidad y desempeño, gestión de capacidad, operación de esquemas de redundancia y contingencia, así como atención oportuna de fallas de acuerdo con los ANS definidos contractualmente.</t>
  </si>
  <si>
    <t>Huelgas, paros, sabotaje y actos terroristas que puedan interrumpir la prestación de los servicios contratados</t>
  </si>
  <si>
    <t>Demora en la atención de los requerimientos técnicos solicitados por la Entidad.
Retraso en la entrega o recibo de los servicios contratados dentro de las fechas pactadas.</t>
  </si>
  <si>
    <t>Selección - Contratación</t>
  </si>
  <si>
    <t>Es un Riesgo de todos los Procesos de Contratación adelantados por la Entidad Estatal, por lo cual está presente en toda su actividad contractual.</t>
  </si>
  <si>
    <t>Es un Riesgo propio del Proceso de Contratación objeto de análisis.</t>
  </si>
  <si>
    <t>Los sobrecostos no representan más del uno por ciento (1%) del valor del contrato.</t>
  </si>
  <si>
    <t>Obstruye la ejecución del contrato sustancialmente, pero aun así permite la consecución del objeto contractual.</t>
  </si>
  <si>
    <t>Durante esta etapa, la Entidad elabora los estudios previos y el proyecto de pliegos de condiciones o sus equivalentes. Dentro de las preguntas que la Entidad Estatal debe hacerse para identificar los
Riesgos de la etapa de planeación se encuentran las siguientes:
(i) La modalidad de contratación es adecuada para el bien, servicio u obra necesitado.
(ii) Los requisitos habilitantes son los apropiados para el Proceso de Contratación y es posible
encontrar proponentes que los cumplan, incluyendo los Riesgos relacionados con la habilidad para
determinar requisitos habilitantes consistentes con el Proceso de Contratación y con el sector
económico en el que actúan los posibles oferentes.
(iii) El valor del contrato corresponde a los precios del mercado.
(iv) La descripción del bien o servicio requerido es clara.
(v) El Proceso de Contratación cuenta con las condiciones que garanticen la transparencia, equidad
y competencia entre los proponentes.
(vi) El estudio de mercado permite identificar los aspectos de oferta y demanda del mercado
respectivo.
(vii) El diseño del Proceso de Contratación permite satisfacer las necesidades de la Entidad Estatal,
cumplir su misión y si es coherente con el cumplimiento de sus objetivos y metas.</t>
  </si>
  <si>
    <t xml:space="preserve">Por parte de la entidad: 
1. Hacer firmar el Anexo "Compromiso Anticorrupción"
El contratista: 
1. Garantizar el cumplimiento a lo establecido en el compromiso anticorrupción por los responsables al ejecutar los servicios contratados.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</si>
</sst>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6" formatCode="_(* #,##0_);_(* \(#,##0\);_(* \-??_);_(@_)"/>
  </numFmts>
  <fonts count="22" x14ac:knownFonts="1">
    <font>
      <sz val="11"/>
      <color theme="1"/>
      <name val="Calibri"/>
      <family val="2"/>
      <scheme val="minor"/>
    </font>
    <font>
      <sz val="11"/>
      <color theme="1"/>
      <name val="Calibri"/>
      <family val="2"/>
      <scheme val="minor"/>
    </font>
    <font>
      <b/>
      <sz val="10"/>
      <name val="Arial"/>
      <family val="2"/>
    </font>
    <font>
      <sz val="10"/>
      <name val="Arial"/>
      <family val="2"/>
    </font>
    <font>
      <sz val="11"/>
      <color theme="0"/>
      <name val="Calibri"/>
      <family val="2"/>
      <scheme val="minor"/>
    </font>
    <font>
      <b/>
      <sz val="18"/>
      <name val="Arial"/>
      <family val="2"/>
    </font>
    <font>
      <b/>
      <sz val="14"/>
      <name val="Arial"/>
      <family val="2"/>
    </font>
    <font>
      <b/>
      <sz val="8"/>
      <name val="Arial"/>
      <family val="2"/>
    </font>
    <font>
      <b/>
      <sz val="11"/>
      <color rgb="FF00B0F0"/>
      <name val="Arial"/>
      <family val="2"/>
    </font>
    <font>
      <sz val="8"/>
      <name val="Arial"/>
      <family val="2"/>
    </font>
    <font>
      <sz val="8"/>
      <color theme="1"/>
      <name val="Arial"/>
      <family val="2"/>
    </font>
    <font>
      <sz val="10"/>
      <name val="Arial Narrow"/>
      <family val="2"/>
    </font>
    <font>
      <sz val="11"/>
      <name val="Arial Narrow"/>
      <family val="2"/>
    </font>
    <font>
      <sz val="11"/>
      <name val="Arial"/>
      <family val="2"/>
    </font>
    <font>
      <sz val="11"/>
      <color theme="1"/>
      <name val="Arial"/>
      <family val="2"/>
    </font>
    <font>
      <sz val="11"/>
      <color rgb="FF000000"/>
      <name val="Arial"/>
      <family val="2"/>
    </font>
    <font>
      <sz val="11"/>
      <color rgb="FFFF0000"/>
      <name val="Arial"/>
      <family val="2"/>
    </font>
    <font>
      <sz val="10"/>
      <color rgb="FFFF0000"/>
      <name val="Arial"/>
      <family val="2"/>
    </font>
    <font>
      <b/>
      <sz val="11"/>
      <name val="Arial"/>
      <family val="2"/>
    </font>
    <font>
      <sz val="10"/>
      <color theme="1"/>
      <name val="Arial"/>
      <family val="2"/>
    </font>
    <font>
      <b/>
      <sz val="10"/>
      <color theme="1"/>
      <name val="Arial"/>
      <family val="2"/>
    </font>
    <font>
      <b/>
      <sz val="11"/>
      <color theme="1"/>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0000"/>
        <bgColor indexed="64"/>
      </patternFill>
    </fill>
    <fill>
      <patternFill patternType="solid">
        <fgColor theme="5" tint="-0.249977111117893"/>
        <bgColor indexed="64"/>
      </patternFill>
    </fill>
    <fill>
      <patternFill patternType="solid">
        <fgColor rgb="FFFFFF00"/>
        <bgColor indexed="64"/>
      </patternFill>
    </fill>
    <fill>
      <patternFill patternType="solid">
        <fgColor rgb="FF00B050"/>
        <bgColor indexed="64"/>
      </patternFill>
    </fill>
    <fill>
      <patternFill patternType="solid">
        <fgColor theme="2"/>
        <bgColor indexed="64"/>
      </patternFill>
    </fill>
    <fill>
      <patternFill patternType="solid">
        <fgColor theme="0"/>
        <bgColor rgb="FFF2F2F2"/>
      </patternFill>
    </fill>
    <fill>
      <patternFill patternType="solid">
        <fgColor theme="4"/>
        <bgColor rgb="FF558ED5"/>
      </patternFill>
    </fill>
    <fill>
      <patternFill patternType="solid">
        <fgColor theme="0" tint="-4.9989318521683403E-2"/>
        <bgColor rgb="FFFFFFFF"/>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5">
    <xf numFmtId="0" fontId="0" fillId="0" borderId="0"/>
    <xf numFmtId="9" fontId="1" fillId="0" borderId="0" applyFont="0" applyFill="0" applyBorder="0" applyAlignment="0" applyProtection="0"/>
    <xf numFmtId="164" fontId="1" fillId="0" borderId="0" applyFont="0" applyFill="0" applyBorder="0" applyAlignment="0" applyProtection="0"/>
    <xf numFmtId="0" fontId="4" fillId="4" borderId="0" applyNumberFormat="0" applyBorder="0" applyAlignment="0" applyProtection="0"/>
    <xf numFmtId="43" fontId="1" fillId="0" borderId="0" applyFont="0" applyFill="0" applyBorder="0" applyAlignment="0" applyProtection="0"/>
  </cellStyleXfs>
  <cellXfs count="172">
    <xf numFmtId="0" fontId="0" fillId="0" borderId="0" xfId="0"/>
    <xf numFmtId="0" fontId="3"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7" fillId="2" borderId="1" xfId="0" applyFont="1" applyFill="1" applyBorder="1" applyAlignment="1">
      <alignment horizontal="justify" vertical="center"/>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8" fillId="0" borderId="0" xfId="0" applyFont="1"/>
    <xf numFmtId="0" fontId="9" fillId="0" borderId="0" xfId="0" applyFont="1"/>
    <xf numFmtId="0" fontId="10" fillId="0" borderId="0" xfId="0" applyFont="1"/>
    <xf numFmtId="0" fontId="10" fillId="6" borderId="1" xfId="0" applyFont="1" applyFill="1" applyBorder="1" applyAlignment="1">
      <alignment vertical="center"/>
    </xf>
    <xf numFmtId="0" fontId="10" fillId="6" borderId="1" xfId="0" applyFont="1" applyFill="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10" fillId="0" borderId="0" xfId="0" applyFont="1" applyAlignment="1">
      <alignment horizontal="center" vertical="center"/>
    </xf>
    <xf numFmtId="0" fontId="10" fillId="7" borderId="1" xfId="0" applyFont="1" applyFill="1" applyBorder="1" applyAlignment="1">
      <alignment horizontal="center" vertical="center"/>
    </xf>
    <xf numFmtId="0" fontId="10" fillId="0" borderId="0" xfId="0" applyFont="1" applyAlignment="1">
      <alignment horizontal="justify" vertical="center"/>
    </xf>
    <xf numFmtId="0" fontId="10" fillId="7" borderId="1" xfId="0" applyFont="1" applyFill="1" applyBorder="1" applyAlignment="1">
      <alignment horizontal="center" vertical="center" wrapText="1"/>
    </xf>
    <xf numFmtId="0" fontId="10" fillId="0" borderId="1" xfId="0" applyFont="1" applyBorder="1" applyAlignment="1">
      <alignment horizontal="justify" vertical="center"/>
    </xf>
    <xf numFmtId="0" fontId="10"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10" fillId="10" borderId="1" xfId="0" applyFont="1" applyFill="1" applyBorder="1" applyAlignment="1">
      <alignment horizontal="center" vertical="center"/>
    </xf>
    <xf numFmtId="0" fontId="10" fillId="11" borderId="1" xfId="0" applyFont="1" applyFill="1" applyBorder="1" applyAlignment="1">
      <alignment horizontal="center" vertical="center"/>
    </xf>
    <xf numFmtId="0" fontId="10" fillId="0" borderId="0" xfId="0" applyFont="1" applyAlignment="1">
      <alignment wrapText="1"/>
    </xf>
    <xf numFmtId="0" fontId="9" fillId="0" borderId="0" xfId="0" applyFont="1" applyAlignment="1">
      <alignment horizontal="center" vertical="center"/>
    </xf>
    <xf numFmtId="0" fontId="11" fillId="3" borderId="0" xfId="0" applyFont="1" applyFill="1" applyAlignment="1">
      <alignment vertical="center"/>
    </xf>
    <xf numFmtId="0" fontId="12" fillId="3" borderId="0" xfId="0" applyFont="1" applyFill="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justify" vertical="center"/>
    </xf>
    <xf numFmtId="0" fontId="11" fillId="0" borderId="0" xfId="0" applyFont="1" applyAlignment="1">
      <alignment vertical="center"/>
    </xf>
    <xf numFmtId="0" fontId="12" fillId="0" borderId="0" xfId="0" applyFont="1" applyAlignment="1">
      <alignment vertical="center"/>
    </xf>
    <xf numFmtId="0" fontId="11" fillId="3" borderId="0" xfId="0" applyFont="1" applyFill="1" applyAlignment="1">
      <alignment vertical="center" wrapText="1"/>
    </xf>
    <xf numFmtId="0" fontId="3" fillId="3" borderId="0" xfId="0" applyFont="1" applyFill="1" applyAlignment="1">
      <alignment vertical="center"/>
    </xf>
    <xf numFmtId="9" fontId="13" fillId="3" borderId="1" xfId="3" applyNumberFormat="1" applyFont="1" applyFill="1" applyBorder="1" applyAlignment="1">
      <alignment horizontal="center" vertical="center" textRotation="90" wrapText="1"/>
    </xf>
    <xf numFmtId="0" fontId="18" fillId="3" borderId="1" xfId="0" applyFont="1" applyFill="1" applyBorder="1" applyAlignment="1">
      <alignment horizontal="center" vertical="center" wrapText="1"/>
    </xf>
    <xf numFmtId="0" fontId="18" fillId="4" borderId="1" xfId="3" applyFont="1" applyBorder="1" applyAlignment="1">
      <alignment horizontal="center" vertical="center"/>
    </xf>
    <xf numFmtId="9" fontId="13" fillId="2" borderId="1" xfId="1" applyFont="1" applyFill="1" applyBorder="1" applyAlignment="1">
      <alignment horizontal="center" vertical="center" textRotation="90" wrapText="1"/>
    </xf>
    <xf numFmtId="0" fontId="13" fillId="3" borderId="1" xfId="0" applyFont="1" applyFill="1" applyBorder="1" applyAlignment="1">
      <alignment horizontal="center" vertical="center"/>
    </xf>
    <xf numFmtId="9" fontId="13" fillId="3" borderId="1" xfId="0" applyNumberFormat="1" applyFont="1" applyFill="1" applyBorder="1" applyAlignment="1">
      <alignment horizontal="center" vertical="center"/>
    </xf>
    <xf numFmtId="0" fontId="18" fillId="3" borderId="1" xfId="0" applyFont="1" applyFill="1" applyBorder="1" applyAlignment="1">
      <alignment horizontal="center" vertical="center" textRotation="90" wrapText="1"/>
    </xf>
    <xf numFmtId="0" fontId="18" fillId="3" borderId="1" xfId="0" applyFont="1" applyFill="1" applyBorder="1" applyAlignment="1">
      <alignment horizontal="justify" vertical="center" textRotation="90"/>
    </xf>
    <xf numFmtId="0" fontId="18" fillId="3" borderId="1" xfId="0" applyFont="1" applyFill="1" applyBorder="1" applyAlignment="1">
      <alignment horizontal="center" vertical="center"/>
    </xf>
    <xf numFmtId="165" fontId="13" fillId="2" borderId="1" xfId="2" applyNumberFormat="1" applyFont="1" applyFill="1" applyBorder="1" applyAlignment="1">
      <alignment horizontal="left" vertical="center" wrapText="1"/>
    </xf>
    <xf numFmtId="0" fontId="18" fillId="3" borderId="1" xfId="3" applyFont="1" applyFill="1" applyBorder="1" applyAlignment="1">
      <alignment horizontal="center" vertical="center"/>
    </xf>
    <xf numFmtId="0" fontId="13" fillId="3" borderId="1" xfId="0" applyFont="1" applyFill="1" applyBorder="1" applyAlignment="1">
      <alignment horizontal="center" vertical="center" wrapText="1"/>
    </xf>
    <xf numFmtId="15" fontId="13" fillId="3" borderId="1" xfId="0" applyNumberFormat="1" applyFont="1" applyFill="1" applyBorder="1" applyAlignment="1">
      <alignment horizontal="center" vertical="center" wrapText="1"/>
    </xf>
    <xf numFmtId="0" fontId="13" fillId="3" borderId="19" xfId="0" applyFont="1" applyFill="1" applyBorder="1" applyAlignment="1">
      <alignment vertical="center" wrapText="1"/>
    </xf>
    <xf numFmtId="9" fontId="13" fillId="3" borderId="1" xfId="1" applyFont="1" applyFill="1" applyBorder="1" applyAlignment="1">
      <alignment horizontal="center" vertical="center" textRotation="90" wrapText="1"/>
    </xf>
    <xf numFmtId="0" fontId="13" fillId="3" borderId="1" xfId="0" applyFont="1" applyFill="1" applyBorder="1" applyAlignment="1">
      <alignment vertical="center" wrapText="1"/>
    </xf>
    <xf numFmtId="0" fontId="18" fillId="12" borderId="1" xfId="3" applyFont="1" applyFill="1" applyBorder="1" applyAlignment="1">
      <alignment horizontal="center" vertical="center"/>
    </xf>
    <xf numFmtId="0" fontId="13" fillId="3" borderId="1" xfId="0" applyFont="1" applyFill="1" applyBorder="1" applyAlignment="1">
      <alignment horizontal="justify" vertical="center"/>
    </xf>
    <xf numFmtId="0" fontId="13" fillId="3" borderId="1" xfId="3" applyFont="1" applyFill="1" applyBorder="1" applyAlignment="1">
      <alignment horizontal="center" vertical="center" wrapText="1"/>
    </xf>
    <xf numFmtId="9" fontId="13" fillId="3" borderId="1" xfId="0" applyNumberFormat="1" applyFont="1" applyFill="1" applyBorder="1" applyAlignment="1">
      <alignment horizontal="center" vertical="center" wrapText="1"/>
    </xf>
    <xf numFmtId="0" fontId="18" fillId="0" borderId="1" xfId="0" applyFont="1" applyBorder="1" applyAlignment="1">
      <alignment horizontal="center" vertical="center" textRotation="90" wrapText="1"/>
    </xf>
    <xf numFmtId="0" fontId="18" fillId="0" borderId="1" xfId="0" applyFont="1" applyBorder="1" applyAlignment="1">
      <alignment horizontal="justify" vertical="center" textRotation="90"/>
    </xf>
    <xf numFmtId="0" fontId="18" fillId="0" borderId="1" xfId="0" applyFont="1" applyBorder="1" applyAlignment="1">
      <alignment horizontal="center" vertical="center"/>
    </xf>
    <xf numFmtId="9" fontId="13" fillId="0" borderId="1" xfId="0" applyNumberFormat="1" applyFont="1" applyBorder="1" applyAlignment="1">
      <alignment horizontal="center" vertical="center" textRotation="90" wrapText="1"/>
    </xf>
    <xf numFmtId="166" fontId="13" fillId="0" borderId="1" xfId="0" applyNumberFormat="1" applyFont="1" applyBorder="1" applyAlignment="1">
      <alignment horizontal="left" vertical="center" wrapText="1"/>
    </xf>
    <xf numFmtId="9" fontId="16" fillId="0" borderId="1" xfId="0" applyNumberFormat="1" applyFont="1" applyBorder="1" applyAlignment="1">
      <alignment horizontal="center" vertical="center"/>
    </xf>
    <xf numFmtId="9" fontId="13"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15" fontId="13" fillId="0" borderId="1" xfId="0" applyNumberFormat="1" applyFont="1" applyBorder="1" applyAlignment="1">
      <alignment horizontal="center" vertical="center" wrapText="1"/>
    </xf>
    <xf numFmtId="0" fontId="18" fillId="13" borderId="1" xfId="0" applyFont="1" applyFill="1" applyBorder="1" applyAlignment="1">
      <alignment horizontal="center" vertical="center" textRotation="90" wrapText="1"/>
    </xf>
    <xf numFmtId="0" fontId="18" fillId="13" borderId="1" xfId="0" applyFont="1" applyFill="1" applyBorder="1" applyAlignment="1">
      <alignment horizontal="center" vertical="center"/>
    </xf>
    <xf numFmtId="9" fontId="13" fillId="13" borderId="1" xfId="0" applyNumberFormat="1" applyFont="1" applyFill="1" applyBorder="1" applyAlignment="1">
      <alignment horizontal="center" vertical="center" textRotation="90" wrapText="1"/>
    </xf>
    <xf numFmtId="166" fontId="13" fillId="15" borderId="1" xfId="0" applyNumberFormat="1" applyFont="1" applyFill="1" applyBorder="1" applyAlignment="1">
      <alignment horizontal="left" vertical="center" wrapText="1"/>
    </xf>
    <xf numFmtId="9" fontId="13" fillId="15" borderId="1" xfId="0" applyNumberFormat="1" applyFont="1" applyFill="1" applyBorder="1" applyAlignment="1">
      <alignment horizontal="center" vertical="center" textRotation="90" wrapText="1"/>
    </xf>
    <xf numFmtId="0" fontId="13" fillId="1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8" fillId="14" borderId="1" xfId="0" applyFont="1" applyFill="1" applyBorder="1" applyAlignment="1">
      <alignment horizontal="center" vertical="center"/>
    </xf>
    <xf numFmtId="165" fontId="13" fillId="3" borderId="1" xfId="2" applyNumberFormat="1" applyFont="1" applyFill="1" applyBorder="1" applyAlignment="1">
      <alignment horizontal="left" vertical="center" wrapText="1"/>
    </xf>
    <xf numFmtId="9" fontId="16" fillId="3" borderId="1" xfId="0" applyNumberFormat="1" applyFont="1" applyFill="1" applyBorder="1" applyAlignment="1">
      <alignment horizontal="center" vertical="center"/>
    </xf>
    <xf numFmtId="0" fontId="14" fillId="0" borderId="1" xfId="0" applyFont="1" applyBorder="1" applyAlignment="1">
      <alignment horizontal="center" vertical="center" textRotation="90" wrapText="1"/>
    </xf>
    <xf numFmtId="0" fontId="13" fillId="0" borderId="1" xfId="0" applyFont="1" applyBorder="1" applyAlignment="1">
      <alignment vertical="center"/>
    </xf>
    <xf numFmtId="0" fontId="15" fillId="3" borderId="1" xfId="0" applyFont="1" applyFill="1" applyBorder="1" applyAlignment="1">
      <alignment textRotation="90" wrapText="1"/>
    </xf>
    <xf numFmtId="0" fontId="13" fillId="3" borderId="1" xfId="0" applyFont="1" applyFill="1" applyBorder="1" applyAlignment="1">
      <alignment vertical="center"/>
    </xf>
    <xf numFmtId="9" fontId="16" fillId="0" borderId="1" xfId="0" applyNumberFormat="1" applyFont="1" applyBorder="1" applyAlignment="1">
      <alignment vertical="center"/>
    </xf>
    <xf numFmtId="0" fontId="2" fillId="2" borderId="19" xfId="0" applyFont="1" applyFill="1" applyBorder="1" applyAlignment="1">
      <alignment horizontal="center" vertical="center" wrapText="1"/>
    </xf>
    <xf numFmtId="0" fontId="13" fillId="3" borderId="19" xfId="0" applyFont="1" applyFill="1" applyBorder="1" applyAlignment="1">
      <alignment horizontal="left" vertical="center" wrapText="1"/>
    </xf>
    <xf numFmtId="0" fontId="13" fillId="3" borderId="19" xfId="0" applyFont="1" applyFill="1" applyBorder="1" applyAlignment="1">
      <alignment horizontal="justify" vertical="center" wrapText="1"/>
    </xf>
    <xf numFmtId="15" fontId="13" fillId="3" borderId="19" xfId="0" applyNumberFormat="1" applyFont="1" applyFill="1" applyBorder="1" applyAlignment="1">
      <alignment horizontal="left" vertical="center" wrapText="1"/>
    </xf>
    <xf numFmtId="15" fontId="13" fillId="0" borderId="19" xfId="0" applyNumberFormat="1" applyFont="1" applyBorder="1" applyAlignment="1">
      <alignment horizontal="left" vertical="center" wrapText="1"/>
    </xf>
    <xf numFmtId="15" fontId="16" fillId="3" borderId="19" xfId="0" applyNumberFormat="1" applyFont="1" applyFill="1" applyBorder="1" applyAlignment="1">
      <alignment horizontal="left" vertical="center" wrapText="1"/>
    </xf>
    <xf numFmtId="0" fontId="14" fillId="0" borderId="22" xfId="0" applyFont="1" applyBorder="1" applyAlignment="1">
      <alignment horizontal="center" vertical="center" textRotation="90" wrapText="1"/>
    </xf>
    <xf numFmtId="0" fontId="18" fillId="14" borderId="22" xfId="0" applyFont="1" applyFill="1" applyBorder="1" applyAlignment="1">
      <alignment horizontal="center" vertical="center"/>
    </xf>
    <xf numFmtId="9" fontId="13" fillId="13" borderId="22" xfId="0" applyNumberFormat="1" applyFont="1" applyFill="1" applyBorder="1" applyAlignment="1">
      <alignment horizontal="center" vertical="center" textRotation="90" wrapText="1"/>
    </xf>
    <xf numFmtId="0" fontId="18" fillId="13" borderId="22" xfId="0" applyFont="1" applyFill="1" applyBorder="1" applyAlignment="1">
      <alignment horizontal="center" vertical="center"/>
    </xf>
    <xf numFmtId="166" fontId="13" fillId="15" borderId="22" xfId="0" applyNumberFormat="1" applyFont="1" applyFill="1" applyBorder="1" applyAlignment="1">
      <alignment horizontal="left" vertical="center" wrapText="1"/>
    </xf>
    <xf numFmtId="9" fontId="13" fillId="15" borderId="22" xfId="0" applyNumberFormat="1" applyFont="1" applyFill="1" applyBorder="1" applyAlignment="1">
      <alignment horizontal="center" vertical="center" textRotation="90" wrapText="1"/>
    </xf>
    <xf numFmtId="9" fontId="16" fillId="0" borderId="22" xfId="0" applyNumberFormat="1" applyFont="1" applyBorder="1" applyAlignment="1">
      <alignment vertical="center"/>
    </xf>
    <xf numFmtId="9" fontId="13" fillId="3" borderId="22" xfId="0" applyNumberFormat="1" applyFont="1" applyFill="1" applyBorder="1" applyAlignment="1">
      <alignment horizontal="center" vertical="center"/>
    </xf>
    <xf numFmtId="0" fontId="18" fillId="4" borderId="22" xfId="3" applyFont="1" applyBorder="1" applyAlignment="1">
      <alignment horizontal="center" vertical="center"/>
    </xf>
    <xf numFmtId="9" fontId="13" fillId="3" borderId="22" xfId="3" applyNumberFormat="1" applyFont="1" applyFill="1" applyBorder="1" applyAlignment="1">
      <alignment horizontal="center" vertical="center" textRotation="90" wrapText="1"/>
    </xf>
    <xf numFmtId="165" fontId="13" fillId="2" borderId="22" xfId="2" applyNumberFormat="1" applyFont="1" applyFill="1" applyBorder="1" applyAlignment="1">
      <alignment horizontal="left" vertical="center" wrapText="1"/>
    </xf>
    <xf numFmtId="9" fontId="13" fillId="2" borderId="22" xfId="1" applyFont="1" applyFill="1" applyBorder="1" applyAlignment="1">
      <alignment horizontal="center" vertical="center" textRotation="90" wrapText="1"/>
    </xf>
    <xf numFmtId="0" fontId="13" fillId="3" borderId="22" xfId="0" applyFont="1" applyFill="1" applyBorder="1" applyAlignment="1">
      <alignment horizontal="center" vertical="center"/>
    </xf>
    <xf numFmtId="0" fontId="16" fillId="3" borderId="22" xfId="0" applyFont="1" applyFill="1" applyBorder="1" applyAlignment="1">
      <alignment horizontal="center" vertical="center" wrapText="1"/>
    </xf>
    <xf numFmtId="15" fontId="13" fillId="3" borderId="22" xfId="0" applyNumberFormat="1" applyFont="1" applyFill="1" applyBorder="1" applyAlignment="1">
      <alignment horizontal="center" vertical="center" wrapText="1"/>
    </xf>
    <xf numFmtId="0" fontId="16" fillId="13" borderId="22" xfId="0" applyFont="1" applyFill="1" applyBorder="1" applyAlignment="1">
      <alignment horizontal="center" vertical="center" wrapText="1"/>
    </xf>
    <xf numFmtId="15" fontId="16" fillId="3" borderId="23" xfId="0" applyNumberFormat="1" applyFont="1" applyFill="1" applyBorder="1" applyAlignment="1">
      <alignment horizontal="left" vertical="center" wrapText="1"/>
    </xf>
    <xf numFmtId="0" fontId="13" fillId="0" borderId="20" xfId="0" applyFont="1" applyBorder="1" applyAlignment="1">
      <alignment horizontal="center" vertical="center"/>
    </xf>
    <xf numFmtId="0" fontId="13" fillId="3" borderId="20" xfId="0" applyFont="1" applyFill="1" applyBorder="1" applyAlignment="1">
      <alignment horizontal="center" vertical="center" wrapText="1"/>
    </xf>
    <xf numFmtId="0" fontId="13" fillId="3" borderId="20" xfId="0" applyFont="1" applyFill="1" applyBorder="1" applyAlignment="1">
      <alignment horizontal="center" vertical="center"/>
    </xf>
    <xf numFmtId="0" fontId="13" fillId="0" borderId="20" xfId="0" applyFont="1" applyBorder="1" applyAlignment="1">
      <alignment horizontal="center" vertical="center" wrapText="1"/>
    </xf>
    <xf numFmtId="0" fontId="17" fillId="0" borderId="20" xfId="0" applyFont="1" applyBorder="1" applyAlignment="1">
      <alignment horizontal="center" vertical="center"/>
    </xf>
    <xf numFmtId="0" fontId="17" fillId="3" borderId="20" xfId="0" applyFont="1" applyFill="1" applyBorder="1" applyAlignment="1">
      <alignment horizontal="center" vertical="center"/>
    </xf>
    <xf numFmtId="0" fontId="17" fillId="0" borderId="21" xfId="0" applyFont="1" applyBorder="1" applyAlignment="1">
      <alignment horizontal="center" vertical="center"/>
    </xf>
    <xf numFmtId="0" fontId="3" fillId="2" borderId="20" xfId="0" applyFont="1" applyFill="1" applyBorder="1" applyAlignment="1">
      <alignment horizontal="center" vertical="center"/>
    </xf>
    <xf numFmtId="0" fontId="6"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6" fillId="6" borderId="20" xfId="0" applyFont="1" applyFill="1" applyBorder="1" applyAlignment="1">
      <alignment horizontal="center" vertical="center"/>
    </xf>
    <xf numFmtId="0" fontId="6" fillId="6"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9" xfId="0" applyFont="1" applyFill="1" applyBorder="1" applyAlignment="1">
      <alignment horizontal="center" vertical="center"/>
    </xf>
    <xf numFmtId="0" fontId="2" fillId="2" borderId="1" xfId="0" applyFont="1" applyFill="1" applyBorder="1" applyAlignment="1">
      <alignment horizontal="justify" vertical="center"/>
    </xf>
    <xf numFmtId="0" fontId="2" fillId="2" borderId="1" xfId="0" applyFont="1" applyFill="1" applyBorder="1" applyAlignment="1">
      <alignment horizontal="center" vertical="center"/>
    </xf>
    <xf numFmtId="0" fontId="2" fillId="2" borderId="19" xfId="0" applyFont="1" applyFill="1" applyBorder="1" applyAlignment="1">
      <alignment horizontal="center" vertical="center"/>
    </xf>
    <xf numFmtId="0" fontId="7" fillId="2" borderId="1" xfId="0" applyFont="1" applyFill="1" applyBorder="1" applyAlignment="1">
      <alignment horizontal="center" vertical="center" textRotation="255"/>
    </xf>
    <xf numFmtId="0" fontId="2" fillId="2" borderId="1" xfId="0" applyFont="1" applyFill="1" applyBorder="1" applyAlignment="1">
      <alignment horizontal="center" vertical="center" textRotation="255"/>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 xfId="0" applyFont="1" applyFill="1" applyBorder="1" applyAlignment="1">
      <alignment horizontal="center" vertical="center" textRotation="90"/>
    </xf>
    <xf numFmtId="0" fontId="10" fillId="7" borderId="1" xfId="0" applyFont="1" applyFill="1" applyBorder="1" applyAlignment="1">
      <alignment horizontal="center" vertical="center" wrapText="1"/>
    </xf>
    <xf numFmtId="0" fontId="10" fillId="7" borderId="1" xfId="0"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7" borderId="13" xfId="0" applyFont="1" applyFill="1" applyBorder="1" applyAlignment="1">
      <alignment horizontal="center" vertical="center"/>
    </xf>
    <xf numFmtId="0" fontId="10" fillId="7" borderId="15" xfId="0" applyFont="1" applyFill="1" applyBorder="1" applyAlignment="1">
      <alignment horizontal="center" vertical="center"/>
    </xf>
    <xf numFmtId="0" fontId="10" fillId="7" borderId="14" xfId="0" applyFont="1" applyFill="1" applyBorder="1" applyAlignment="1">
      <alignment horizontal="center" vertical="center"/>
    </xf>
    <xf numFmtId="0" fontId="10" fillId="0" borderId="13" xfId="0" applyFont="1" applyBorder="1" applyAlignment="1">
      <alignment horizontal="left" vertical="center" wrapText="1"/>
    </xf>
    <xf numFmtId="0" fontId="10" fillId="0" borderId="14" xfId="0" applyFont="1" applyBorder="1" applyAlignment="1">
      <alignment horizontal="left" vertical="center"/>
    </xf>
    <xf numFmtId="0" fontId="10" fillId="0" borderId="2" xfId="0" applyFont="1" applyBorder="1" applyAlignment="1">
      <alignment horizontal="center" vertical="center"/>
    </xf>
    <xf numFmtId="0" fontId="10" fillId="0" borderId="9" xfId="0" applyFont="1" applyBorder="1" applyAlignment="1">
      <alignment horizontal="center" vertical="center"/>
    </xf>
    <xf numFmtId="0" fontId="10" fillId="0" borderId="2" xfId="0" applyFont="1" applyBorder="1" applyAlignment="1">
      <alignment horizontal="center" vertical="center" wrapText="1"/>
    </xf>
    <xf numFmtId="0" fontId="10" fillId="0" borderId="9" xfId="0" applyFont="1" applyBorder="1" applyAlignment="1">
      <alignment horizontal="center" vertical="center" wrapText="1"/>
    </xf>
    <xf numFmtId="0" fontId="10" fillId="7" borderId="1" xfId="0" applyFont="1" applyFill="1" applyBorder="1" applyAlignment="1">
      <alignment horizontal="center"/>
    </xf>
    <xf numFmtId="0" fontId="10" fillId="0" borderId="13" xfId="0" applyFont="1" applyBorder="1" applyAlignment="1">
      <alignment horizontal="left" vertical="top" wrapText="1"/>
    </xf>
    <xf numFmtId="0" fontId="10" fillId="0" borderId="14" xfId="0" applyFont="1" applyBorder="1" applyAlignment="1">
      <alignment horizontal="left" vertical="top"/>
    </xf>
    <xf numFmtId="0" fontId="10" fillId="6" borderId="1"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7" xfId="0" applyFont="1" applyBorder="1" applyAlignment="1">
      <alignment horizontal="left" vertical="top" wrapText="1"/>
    </xf>
    <xf numFmtId="0" fontId="10" fillId="0" borderId="0" xfId="0" applyFont="1" applyAlignment="1">
      <alignment horizontal="left" vertical="top" wrapText="1"/>
    </xf>
    <xf numFmtId="0" fontId="10" fillId="0" borderId="8"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9" fillId="0" borderId="0" xfId="0" applyFont="1" applyAlignment="1">
      <alignment vertical="center"/>
    </xf>
    <xf numFmtId="0" fontId="20" fillId="2" borderId="1" xfId="0" applyFont="1" applyFill="1" applyBorder="1" applyAlignment="1">
      <alignment horizontal="center" vertical="center"/>
    </xf>
    <xf numFmtId="0" fontId="21" fillId="0" borderId="1" xfId="0" applyFont="1" applyBorder="1" applyAlignment="1">
      <alignment horizontal="left" vertical="center" wrapText="1"/>
    </xf>
    <xf numFmtId="0" fontId="21" fillId="3" borderId="1" xfId="0" applyFont="1" applyFill="1" applyBorder="1" applyAlignment="1">
      <alignment horizontal="left" vertical="center" wrapText="1"/>
    </xf>
    <xf numFmtId="0" fontId="21" fillId="0" borderId="22" xfId="0" applyFont="1" applyBorder="1" applyAlignment="1">
      <alignment horizontal="left" vertical="center" wrapText="1"/>
    </xf>
    <xf numFmtId="0" fontId="19" fillId="0" borderId="0" xfId="0" applyFont="1" applyAlignment="1">
      <alignment horizontal="justify" vertical="center"/>
    </xf>
    <xf numFmtId="0" fontId="20" fillId="2" borderId="1" xfId="0" applyFont="1" applyFill="1" applyBorder="1" applyAlignment="1">
      <alignment horizontal="justify" vertical="center" wrapText="1"/>
    </xf>
    <xf numFmtId="0" fontId="14" fillId="3" borderId="1" xfId="0" applyFont="1" applyFill="1" applyBorder="1" applyAlignment="1">
      <alignment horizontal="justify" vertical="center" wrapText="1"/>
    </xf>
    <xf numFmtId="0" fontId="14" fillId="0" borderId="1" xfId="0" applyFont="1" applyBorder="1" applyAlignment="1">
      <alignment horizontal="justify" vertical="center" wrapText="1"/>
    </xf>
    <xf numFmtId="0" fontId="14" fillId="0" borderId="1" xfId="0" applyFont="1" applyBorder="1" applyAlignment="1">
      <alignment horizontal="left" vertical="center" wrapText="1"/>
    </xf>
    <xf numFmtId="0" fontId="14" fillId="3" borderId="1" xfId="0" applyFont="1" applyFill="1" applyBorder="1" applyAlignment="1">
      <alignment horizontal="left" vertical="center" wrapText="1"/>
    </xf>
    <xf numFmtId="0" fontId="14" fillId="0" borderId="22" xfId="0" applyFont="1" applyBorder="1" applyAlignment="1">
      <alignment horizontal="left" vertical="center" wrapText="1"/>
    </xf>
  </cellXfs>
  <cellStyles count="5">
    <cellStyle name="Énfasis1" xfId="3" builtinId="29"/>
    <cellStyle name="Millares" xfId="2" builtinId="3"/>
    <cellStyle name="Millares 2" xfId="4" xr:uid="{00000000-0005-0000-0000-000002000000}"/>
    <cellStyle name="Normal" xfId="0" builtinId="0"/>
    <cellStyle name="Porcentaje" xfId="1" builtinId="5"/>
  </cellStyles>
  <dxfs count="434">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ill>
        <patternFill>
          <bgColor theme="3" tint="0.39979247413556324"/>
        </patternFill>
      </fill>
    </dxf>
    <dxf>
      <fill>
        <patternFill>
          <bgColor rgb="FF0070C0"/>
        </patternFill>
      </fill>
    </dxf>
    <dxf>
      <fill>
        <patternFill>
          <bgColor theme="3" tint="0.39979247413556324"/>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ill>
        <patternFill>
          <bgColor theme="3" tint="0.39994506668294322"/>
        </patternFill>
      </fill>
    </dxf>
    <dxf>
      <fill>
        <patternFill>
          <bgColor rgb="FF0070C0"/>
        </patternFill>
      </fill>
    </dxf>
    <dxf>
      <font>
        <color rgb="FF9C0006"/>
      </font>
      <fill>
        <patternFill>
          <bgColor rgb="FFFFC7CE"/>
        </patternFill>
      </fill>
    </dxf>
    <dxf>
      <fill>
        <patternFill>
          <bgColor theme="3" tint="0.39994506668294322"/>
        </patternFill>
      </fill>
    </dxf>
    <dxf>
      <fill>
        <patternFill>
          <bgColor rgb="FF0070C0"/>
        </patternFill>
      </fill>
    </dxf>
    <dxf>
      <fill>
        <patternFill>
          <bgColor rgb="FF0070C0"/>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ont>
        <color rgb="FF9C0006"/>
      </font>
      <fill>
        <patternFill>
          <bgColor rgb="FFFFC7CE"/>
        </patternFill>
      </fill>
    </dxf>
    <dxf>
      <font>
        <color rgb="FF006100"/>
      </font>
      <fill>
        <patternFill>
          <bgColor rgb="FFC6EFCE"/>
        </patternFill>
      </fill>
    </dxf>
    <dxf>
      <fill>
        <patternFill>
          <bgColor theme="3" tint="0.39994506668294322"/>
        </patternFill>
      </fill>
    </dxf>
    <dxf>
      <fill>
        <patternFill>
          <bgColor rgb="FF0070C0"/>
        </patternFill>
      </fill>
    </dxf>
    <dxf>
      <font>
        <color rgb="FF006100"/>
      </font>
      <fill>
        <patternFill>
          <bgColor rgb="FFC6EFCE"/>
        </patternFill>
      </fill>
    </dxf>
    <dxf>
      <fill>
        <patternFill>
          <bgColor theme="3" tint="0.39994506668294322"/>
        </patternFill>
      </fill>
    </dxf>
    <dxf>
      <font>
        <color rgb="FF9C0006"/>
      </font>
      <fill>
        <patternFill>
          <bgColor rgb="FFFFC7CE"/>
        </patternFill>
      </fill>
    </dxf>
    <dxf>
      <fill>
        <patternFill>
          <bgColor rgb="FF0070C0"/>
        </patternFill>
      </fill>
    </dxf>
    <dxf>
      <font>
        <color rgb="FF9C0006"/>
      </font>
      <fill>
        <patternFill>
          <bgColor rgb="FFFFC7CE"/>
        </patternFill>
      </fill>
    </dxf>
    <dxf>
      <font>
        <color rgb="FF006100"/>
      </font>
      <fill>
        <patternFill>
          <bgColor rgb="FFC6EFCE"/>
        </patternFill>
      </fill>
    </dxf>
    <dxf>
      <fill>
        <patternFill>
          <bgColor theme="3" tint="0.39994506668294322"/>
        </patternFill>
      </fill>
    </dxf>
    <dxf>
      <fill>
        <patternFill>
          <bgColor theme="3" tint="0.39979247413556324"/>
        </patternFill>
      </fill>
    </dxf>
    <dxf>
      <font>
        <color rgb="FF9C0006"/>
      </font>
      <fill>
        <patternFill>
          <bgColor rgb="FFFFC7CE"/>
        </patternFill>
      </fill>
    </dxf>
    <dxf>
      <fill>
        <patternFill>
          <bgColor rgb="FF0070C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3" tint="0.39979247413556324"/>
        </patternFill>
      </fill>
    </dxf>
    <dxf>
      <fill>
        <patternFill>
          <bgColor rgb="FF0070C0"/>
        </patternFill>
      </fill>
    </dxf>
    <dxf>
      <fill>
        <patternFill>
          <bgColor rgb="FF0070C0"/>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ill>
        <patternFill>
          <bgColor rgb="FF0070C0"/>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ill>
        <patternFill>
          <bgColor rgb="FF0070C0"/>
        </patternFill>
      </fill>
    </dxf>
    <dxf>
      <font>
        <color rgb="FF9C0006"/>
      </font>
      <fill>
        <patternFill>
          <bgColor rgb="FFFFC7CE"/>
        </patternFill>
      </fill>
    </dxf>
    <dxf>
      <font>
        <color rgb="FF006100"/>
      </font>
      <fill>
        <patternFill>
          <bgColor rgb="FFC6EFCE"/>
        </patternFill>
      </fill>
    </dxf>
    <dxf>
      <fill>
        <patternFill>
          <bgColor theme="3" tint="0.39994506668294322"/>
        </patternFill>
      </fill>
    </dxf>
    <dxf>
      <fill>
        <patternFill>
          <bgColor rgb="FF0070C0"/>
        </patternFill>
      </fill>
    </dxf>
    <dxf>
      <fill>
        <patternFill>
          <bgColor rgb="FF0070C0"/>
        </patternFill>
      </fill>
    </dxf>
    <dxf>
      <font>
        <color rgb="FF006100"/>
      </font>
      <fill>
        <patternFill>
          <bgColor rgb="FFC6EFCE"/>
        </patternFill>
      </fill>
    </dxf>
    <dxf>
      <fill>
        <patternFill>
          <bgColor theme="3"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theme="3" tint="0.59996337778862885"/>
        </patternFill>
      </fill>
    </dxf>
    <dxf>
      <font>
        <color rgb="FF9C6500"/>
      </font>
      <fill>
        <patternFill>
          <bgColor rgb="FFFFEB9C"/>
        </patternFill>
      </fill>
    </dxf>
    <dxf>
      <font>
        <color rgb="FF006100"/>
      </font>
      <fill>
        <patternFill>
          <bgColor rgb="FFC6EFCE"/>
        </patternFill>
      </fill>
    </dxf>
    <dxf>
      <fill>
        <patternFill>
          <bgColor rgb="FF0070C0"/>
        </patternFill>
      </fill>
    </dxf>
    <dxf>
      <fill>
        <patternFill>
          <bgColor theme="3" tint="0.39994506668294322"/>
        </patternFill>
      </fill>
    </dxf>
    <dxf>
      <font>
        <color rgb="FF9C0006"/>
      </font>
      <fill>
        <patternFill>
          <bgColor rgb="FFFFC7CE"/>
        </patternFill>
      </fill>
    </dxf>
    <dxf>
      <font>
        <color rgb="FF006100"/>
      </font>
      <fill>
        <patternFill>
          <bgColor rgb="FFC6EFCE"/>
        </patternFill>
      </fill>
    </dxf>
    <dxf>
      <fill>
        <patternFill>
          <bgColor theme="3" tint="0.39994506668294322"/>
        </patternFill>
      </fill>
    </dxf>
    <dxf>
      <fill>
        <patternFill>
          <bgColor rgb="FF0070C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ill>
        <patternFill>
          <bgColor theme="3" tint="0.39979247413556324"/>
        </patternFill>
      </fill>
    </dxf>
    <dxf>
      <fill>
        <patternFill>
          <bgColor rgb="FF0070C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79247413556324"/>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ont>
        <color rgb="FF9C0006"/>
      </font>
      <fill>
        <patternFill>
          <bgColor rgb="FFFFC7CE"/>
        </patternFill>
      </fill>
    </dxf>
    <dxf>
      <fill>
        <patternFill>
          <bgColor rgb="FF0070C0"/>
        </patternFill>
      </fill>
    </dxf>
    <dxf>
      <fill>
        <patternFill>
          <bgColor theme="3" tint="0.3999450666829432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ill>
        <patternFill>
          <bgColor theme="3" tint="0.59996337778862885"/>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ill>
        <patternFill>
          <bgColor rgb="FFFFCC00"/>
        </patternFill>
      </fill>
    </dxf>
    <dxf>
      <fill>
        <patternFill>
          <bgColor theme="3" tint="0.59996337778862885"/>
        </patternFill>
      </fill>
    </dxf>
    <dxf>
      <font>
        <color rgb="FF9C6500"/>
      </font>
      <fill>
        <patternFill>
          <bgColor rgb="FFFFEB9C"/>
        </patternFill>
      </fill>
    </dxf>
    <dxf>
      <font>
        <color rgb="FF006100"/>
      </font>
      <fill>
        <patternFill>
          <bgColor rgb="FFC6EFCE"/>
        </patternFill>
      </fill>
    </dxf>
    <dxf>
      <fill>
        <patternFill>
          <bgColor rgb="FF0070C0"/>
        </patternFill>
      </fill>
    </dxf>
    <dxf>
      <fill>
        <patternFill>
          <bgColor theme="3" tint="0.39979247413556324"/>
        </patternFill>
      </fill>
    </dxf>
    <dxf>
      <fill>
        <patternFill>
          <bgColor rgb="FF0070C0"/>
        </patternFill>
      </fill>
    </dxf>
    <dxf>
      <fill>
        <patternFill>
          <bgColor theme="3" tint="0.39994506668294322"/>
        </patternFill>
      </fill>
    </dxf>
    <dxf>
      <fill>
        <patternFill>
          <bgColor theme="3" tint="0.39979247413556324"/>
        </patternFill>
      </fill>
    </dxf>
    <dxf>
      <fill>
        <patternFill>
          <bgColor rgb="FF0070C0"/>
        </patternFill>
      </fill>
    </dxf>
    <dxf>
      <fill>
        <patternFill>
          <bgColor rgb="FF0070C0"/>
        </patternFill>
      </fill>
    </dxf>
    <dxf>
      <fill>
        <patternFill>
          <bgColor theme="3" tint="0.39979247413556324"/>
        </patternFill>
      </fill>
    </dxf>
    <dxf>
      <fill>
        <patternFill>
          <bgColor theme="3" tint="0.39994506668294322"/>
        </patternFill>
      </fill>
    </dxf>
    <dxf>
      <fill>
        <patternFill>
          <bgColor rgb="FF0070C0"/>
        </patternFill>
      </fill>
    </dxf>
    <dxf>
      <fill>
        <patternFill>
          <bgColor theme="3" tint="0.39979247413556324"/>
        </patternFill>
      </fill>
    </dxf>
    <dxf>
      <fill>
        <patternFill>
          <bgColor rgb="FF0070C0"/>
        </patternFill>
      </fill>
    </dxf>
    <dxf>
      <fill>
        <patternFill>
          <bgColor theme="3" tint="0.39994506668294322"/>
        </patternFill>
      </fill>
    </dxf>
    <dxf>
      <fill>
        <patternFill>
          <bgColor rgb="FF0070C0"/>
        </patternFill>
      </fill>
    </dxf>
    <dxf>
      <font>
        <color rgb="FF9C0006"/>
      </font>
      <fill>
        <patternFill>
          <bgColor rgb="FFFFC7CE"/>
        </patternFill>
      </fill>
    </dxf>
    <dxf>
      <fill>
        <patternFill>
          <bgColor theme="3" tint="0.39994506668294322"/>
        </patternFill>
      </fill>
    </dxf>
    <dxf>
      <fill>
        <patternFill>
          <bgColor rgb="FF0070C0"/>
        </patternFill>
      </fill>
    </dxf>
    <dxf>
      <font>
        <color rgb="FF006100"/>
      </font>
      <fill>
        <patternFill>
          <bgColor rgb="FFC6EFCE"/>
        </patternFill>
      </fill>
    </dxf>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ill>
        <patternFill>
          <bgColor rgb="FF0070C0"/>
        </patternFill>
      </fill>
    </dxf>
    <dxf>
      <fill>
        <patternFill>
          <bgColor rgb="FF0070C0"/>
        </patternFill>
      </fill>
    </dxf>
    <dxf>
      <fill>
        <patternFill>
          <bgColor theme="3" tint="0.39994506668294322"/>
        </patternFill>
      </fill>
    </dxf>
    <dxf>
      <fill>
        <patternFill>
          <bgColor theme="3" tint="0.39994506668294322"/>
        </patternFill>
      </fill>
    </dxf>
    <dxf>
      <fill>
        <patternFill>
          <bgColor rgb="FF0070C0"/>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79247413556324"/>
        </patternFill>
      </fill>
    </dxf>
    <dxf>
      <font>
        <color rgb="FF006100"/>
      </font>
      <fill>
        <patternFill>
          <bgColor rgb="FFC6EFCE"/>
        </patternFill>
      </fill>
    </dxf>
    <dxf>
      <fill>
        <patternFill>
          <bgColor theme="3" tint="0.39994506668294322"/>
        </patternFill>
      </fill>
    </dxf>
    <dxf>
      <fill>
        <patternFill>
          <bgColor rgb="FF0070C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79247413556324"/>
        </patternFill>
      </fill>
    </dxf>
    <dxf>
      <fill>
        <patternFill>
          <bgColor theme="3" tint="0.39979247413556324"/>
        </patternFill>
      </fill>
    </dxf>
    <dxf>
      <fill>
        <patternFill>
          <bgColor rgb="FF0070C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79247413556324"/>
        </patternFill>
      </fill>
    </dxf>
    <dxf>
      <font>
        <color rgb="FF006100"/>
      </font>
      <fill>
        <patternFill>
          <bgColor rgb="FFC6EFCE"/>
        </patternFill>
      </fill>
    </dxf>
    <dxf>
      <fill>
        <patternFill>
          <bgColor theme="3" tint="0.39994506668294322"/>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94506668294322"/>
        </patternFill>
      </fill>
    </dxf>
    <dxf>
      <fill>
        <patternFill>
          <bgColor theme="3" tint="0.39994506668294322"/>
        </patternFill>
      </fill>
    </dxf>
    <dxf>
      <fill>
        <patternFill>
          <bgColor rgb="FF0070C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94506668294322"/>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ont>
        <color rgb="FF006100"/>
      </font>
      <fill>
        <patternFill>
          <bgColor rgb="FFC6EFCE"/>
        </patternFill>
      </fill>
    </dxf>
    <dxf>
      <fill>
        <patternFill>
          <bgColor theme="3" tint="0.39994506668294322"/>
        </patternFill>
      </fill>
    </dxf>
    <dxf>
      <font>
        <color rgb="FF9C0006"/>
      </font>
      <fill>
        <patternFill>
          <bgColor rgb="FFFFC7CE"/>
        </patternFill>
      </fill>
    </dxf>
    <dxf>
      <fill>
        <patternFill>
          <bgColor rgb="FF0070C0"/>
        </patternFill>
      </fill>
    </dxf>
    <dxf>
      <fill>
        <patternFill>
          <bgColor rgb="FF0070C0"/>
        </patternFill>
      </fill>
    </dxf>
    <dxf>
      <font>
        <color rgb="FF9C0006"/>
      </font>
      <fill>
        <patternFill>
          <bgColor rgb="FFFFC7CE"/>
        </patternFill>
      </fill>
    </dxf>
    <dxf>
      <font>
        <color rgb="FF006100"/>
      </font>
      <fill>
        <patternFill>
          <bgColor rgb="FFC6EFCE"/>
        </patternFill>
      </fill>
    </dxf>
    <dxf>
      <fill>
        <patternFill>
          <bgColor theme="3" tint="0.39994506668294322"/>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ill>
        <patternFill>
          <bgColor theme="3" tint="0.59996337778862885"/>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ill>
        <patternFill>
          <bgColor theme="3" tint="0.59996337778862885"/>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theme="3" tint="0.59996337778862885"/>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ill>
        <patternFill>
          <bgColor theme="3" tint="0.39979247413556324"/>
        </patternFill>
      </fill>
    </dxf>
    <dxf>
      <fill>
        <patternFill>
          <bgColor rgb="FF0070C0"/>
        </patternFill>
      </fill>
    </dxf>
    <dxf>
      <font>
        <color rgb="FF9C0006"/>
      </font>
      <fill>
        <patternFill>
          <bgColor rgb="FFFFC7CE"/>
        </patternFill>
      </fill>
    </dxf>
    <dxf>
      <font>
        <sz val="11"/>
        <color rgb="FF000000"/>
        <name val="Calibri"/>
        <charset val="1"/>
      </font>
    </dxf>
    <dxf>
      <fill>
        <patternFill>
          <bgColor theme="3" tint="0.39994506668294322"/>
        </patternFill>
      </fill>
    </dxf>
    <dxf>
      <fill>
        <patternFill>
          <bgColor rgb="FF0070C0"/>
        </patternFill>
      </fill>
    </dxf>
    <dxf>
      <font>
        <color rgb="FF006100"/>
      </font>
      <fill>
        <patternFill>
          <bgColor rgb="FFC6EFCE"/>
        </patternFill>
      </fill>
    </dxf>
    <dxf>
      <font>
        <color rgb="FF9C0006"/>
      </font>
      <fill>
        <patternFill>
          <bgColor rgb="FFFFC7CE"/>
        </patternFill>
      </fill>
    </dxf>
    <dxf>
      <fill>
        <patternFill>
          <bgColor rgb="FF0070C0"/>
        </patternFill>
      </fill>
    </dxf>
    <dxf>
      <font>
        <color rgb="FF006100"/>
      </font>
      <fill>
        <patternFill>
          <bgColor rgb="FFC6EFCE"/>
        </patternFill>
      </fill>
    </dxf>
    <dxf>
      <font>
        <color rgb="FF9C0006"/>
      </font>
      <fill>
        <patternFill>
          <bgColor rgb="FFFFC7CE"/>
        </patternFill>
      </fill>
    </dxf>
    <dxf>
      <fill>
        <patternFill>
          <bgColor theme="3" tint="0.39979247413556324"/>
        </patternFill>
      </fill>
    </dxf>
    <dxf>
      <font>
        <sz val="11"/>
        <color rgb="FF000000"/>
        <name val="Calibri"/>
        <charset val="1"/>
      </font>
    </dxf>
    <dxf>
      <fill>
        <patternFill>
          <bgColor rgb="FF0070C0"/>
        </patternFill>
      </fill>
    </dxf>
    <dxf>
      <fill>
        <patternFill>
          <bgColor theme="3" tint="0.39979247413556324"/>
        </patternFill>
      </fill>
    </dxf>
    <dxf>
      <font>
        <color rgb="FF006100"/>
      </font>
      <fill>
        <patternFill>
          <bgColor rgb="FFC6EFCE"/>
        </patternFill>
      </fill>
    </dxf>
    <dxf>
      <font>
        <color rgb="FF9C0006"/>
      </font>
      <fill>
        <patternFill>
          <bgColor rgb="FFFFC7CE"/>
        </patternFill>
      </fill>
    </dxf>
    <dxf>
      <fill>
        <patternFill>
          <bgColor rgb="FF0070C0"/>
        </patternFill>
      </fill>
    </dxf>
    <dxf>
      <fill>
        <patternFill>
          <bgColor theme="3" tint="0.39994506668294322"/>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79247413556324"/>
        </patternFill>
      </fill>
    </dxf>
    <dxf>
      <font>
        <color rgb="FF006100"/>
      </font>
      <fill>
        <patternFill>
          <bgColor rgb="FFC6EFCE"/>
        </patternFill>
      </fill>
    </dxf>
    <dxf>
      <font>
        <color rgb="FF9C0006"/>
      </font>
      <fill>
        <patternFill>
          <bgColor rgb="FFFFC7CE"/>
        </patternFill>
      </fill>
    </dxf>
    <dxf>
      <font>
        <sz val="11"/>
        <color rgb="FF000000"/>
        <name val="Calibri"/>
        <charset val="1"/>
      </font>
    </dxf>
    <dxf>
      <fill>
        <patternFill>
          <bgColor theme="3" tint="0.39994506668294322"/>
        </patternFill>
      </fill>
    </dxf>
    <dxf>
      <font>
        <color rgb="FF9C0006"/>
      </font>
      <fill>
        <patternFill>
          <bgColor rgb="FFFFC7CE"/>
        </patternFill>
      </fill>
    </dxf>
    <dxf>
      <fill>
        <patternFill>
          <bgColor rgb="FF0070C0"/>
        </patternFill>
      </fill>
    </dxf>
    <dxf>
      <font>
        <color rgb="FF006100"/>
      </font>
      <fill>
        <patternFill>
          <bgColor rgb="FFC6EFCE"/>
        </patternFill>
      </fill>
    </dxf>
    <dxf>
      <fill>
        <patternFill>
          <bgColor rgb="FF0070C0"/>
        </patternFill>
      </fill>
    </dxf>
    <dxf>
      <font>
        <color rgb="FF9C0006"/>
      </font>
      <fill>
        <patternFill>
          <bgColor rgb="FFFFC7CE"/>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94506668294322"/>
        </patternFill>
      </fill>
    </dxf>
    <dxf>
      <font>
        <color rgb="FF006100"/>
      </font>
      <fill>
        <patternFill>
          <bgColor rgb="FFC6EFCE"/>
        </patternFill>
      </fill>
    </dxf>
    <dxf>
      <fill>
        <patternFill>
          <bgColor theme="3" tint="0.39994506668294322"/>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70C0"/>
        </patternFill>
      </fill>
    </dxf>
    <dxf>
      <fill>
        <patternFill>
          <bgColor theme="3" tint="0.39994506668294322"/>
        </patternFill>
      </fill>
    </dxf>
    <dxf>
      <fill>
        <patternFill>
          <bgColor theme="3" tint="0.39994506668294322"/>
        </patternFill>
      </fill>
    </dxf>
    <dxf>
      <font>
        <color rgb="FF9C0006"/>
      </font>
      <fill>
        <patternFill>
          <bgColor rgb="FFFFC7CE"/>
        </patternFill>
      </fill>
    </dxf>
    <dxf>
      <fill>
        <patternFill>
          <bgColor rgb="FF0070C0"/>
        </patternFill>
      </fill>
    </dxf>
    <dxf>
      <font>
        <color rgb="FF006100"/>
      </font>
      <fill>
        <patternFill>
          <bgColor rgb="FFC6EFCE"/>
        </patternFill>
      </fill>
    </dxf>
    <dxf>
      <fill>
        <patternFill>
          <bgColor rgb="FF0070C0"/>
        </patternFill>
      </fill>
    </dxf>
    <dxf>
      <fill>
        <patternFill>
          <bgColor theme="3" tint="0.39994506668294322"/>
        </patternFill>
      </fill>
    </dxf>
    <dxf>
      <font>
        <color rgb="FF006100"/>
      </font>
      <fill>
        <patternFill>
          <bgColor rgb="FFC6EFCE"/>
        </patternFill>
      </fill>
    </dxf>
    <dxf>
      <font>
        <color rgb="FF9C0006"/>
      </font>
      <fill>
        <patternFill>
          <bgColor rgb="FFFFC7CE"/>
        </patternFill>
      </fill>
    </dxf>
    <dxf>
      <fill>
        <patternFill>
          <bgColor theme="3" tint="0.39994506668294322"/>
        </patternFill>
      </fill>
    </dxf>
    <dxf>
      <fill>
        <patternFill>
          <bgColor rgb="FF0070C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3" tint="0.39994506668294322"/>
        </patternFill>
      </fill>
    </dxf>
    <dxf>
      <fill>
        <patternFill>
          <bgColor rgb="FF0070C0"/>
        </patternFill>
      </fill>
    </dxf>
    <dxf>
      <font>
        <color rgb="FF9C6500"/>
      </font>
      <fill>
        <patternFill>
          <bgColor rgb="FFFFEB9C"/>
        </patternFill>
      </fill>
    </dxf>
    <dxf>
      <font>
        <color rgb="FF006100"/>
      </font>
      <fill>
        <patternFill>
          <bgColor rgb="FFC6EFCE"/>
        </patternFill>
      </fill>
    </dxf>
    <dxf>
      <fill>
        <patternFill>
          <bgColor theme="3" tint="0.59978026673177287"/>
        </patternFill>
      </fill>
    </dxf>
    <dxf>
      <font>
        <color rgb="FF006100"/>
      </font>
      <fill>
        <patternFill>
          <bgColor rgb="FFC6EFCE"/>
        </patternFill>
      </fill>
    </dxf>
    <dxf>
      <fill>
        <patternFill>
          <bgColor theme="3" tint="0.59996337778862885"/>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ill>
        <patternFill>
          <bgColor theme="3" tint="0.59978026673177287"/>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theme="3" tint="0.59996337778862885"/>
        </patternFill>
      </fill>
    </dxf>
    <dxf>
      <font>
        <color rgb="FF9C6500"/>
      </font>
      <fill>
        <patternFill>
          <bgColor rgb="FFFFEB9C"/>
        </patternFill>
      </fill>
    </dxf>
    <dxf>
      <font>
        <color rgb="FF006100"/>
      </font>
      <fill>
        <patternFill>
          <bgColor rgb="FFC6EFCE"/>
        </patternFill>
      </fill>
    </dxf>
    <dxf>
      <fill>
        <patternFill>
          <bgColor theme="3" tint="0.59978026673177287"/>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colors>
    <mruColors>
      <color rgb="FF386398"/>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25</xdr:col>
      <xdr:colOff>177800</xdr:colOff>
      <xdr:row>14</xdr:row>
      <xdr:rowOff>0</xdr:rowOff>
    </xdr:from>
    <xdr:ext cx="184731" cy="264560"/>
    <xdr:sp macro="" textlink="">
      <xdr:nvSpPr>
        <xdr:cNvPr id="2" name="CuadroTexto 1">
          <a:extLst>
            <a:ext uri="{FF2B5EF4-FFF2-40B4-BE49-F238E27FC236}">
              <a16:creationId xmlns:a16="http://schemas.microsoft.com/office/drawing/2014/main" id="{F9103863-9843-41BD-9479-23A83122480E}"/>
            </a:ext>
          </a:extLst>
        </xdr:cNvPr>
        <xdr:cNvSpPr txBox="1"/>
      </xdr:nvSpPr>
      <xdr:spPr>
        <a:xfrm>
          <a:off x="16456025" y="6734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14</xdr:row>
      <xdr:rowOff>0</xdr:rowOff>
    </xdr:from>
    <xdr:ext cx="184731" cy="264560"/>
    <xdr:sp macro="" textlink="">
      <xdr:nvSpPr>
        <xdr:cNvPr id="3" name="CuadroTexto 2">
          <a:extLst>
            <a:ext uri="{FF2B5EF4-FFF2-40B4-BE49-F238E27FC236}">
              <a16:creationId xmlns:a16="http://schemas.microsoft.com/office/drawing/2014/main" id="{B0396046-E925-48E0-828F-91C585F4CDBA}"/>
            </a:ext>
          </a:extLst>
        </xdr:cNvPr>
        <xdr:cNvSpPr txBox="1"/>
      </xdr:nvSpPr>
      <xdr:spPr>
        <a:xfrm>
          <a:off x="16456025" y="6734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14</xdr:row>
      <xdr:rowOff>0</xdr:rowOff>
    </xdr:from>
    <xdr:ext cx="184731" cy="264560"/>
    <xdr:sp macro="" textlink="">
      <xdr:nvSpPr>
        <xdr:cNvPr id="4" name="CuadroTexto 3">
          <a:extLst>
            <a:ext uri="{FF2B5EF4-FFF2-40B4-BE49-F238E27FC236}">
              <a16:creationId xmlns:a16="http://schemas.microsoft.com/office/drawing/2014/main" id="{A8FD016A-9651-4546-89F8-E5889CBB46CF}"/>
            </a:ext>
          </a:extLst>
        </xdr:cNvPr>
        <xdr:cNvSpPr txBox="1"/>
      </xdr:nvSpPr>
      <xdr:spPr>
        <a:xfrm>
          <a:off x="16456025" y="6734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14</xdr:row>
      <xdr:rowOff>0</xdr:rowOff>
    </xdr:from>
    <xdr:ext cx="184731" cy="264560"/>
    <xdr:sp macro="" textlink="">
      <xdr:nvSpPr>
        <xdr:cNvPr id="5" name="CuadroTexto 4">
          <a:extLst>
            <a:ext uri="{FF2B5EF4-FFF2-40B4-BE49-F238E27FC236}">
              <a16:creationId xmlns:a16="http://schemas.microsoft.com/office/drawing/2014/main" id="{E70BEEEB-48D3-466C-BAA9-C3336EA7CFE5}"/>
            </a:ext>
          </a:extLst>
        </xdr:cNvPr>
        <xdr:cNvSpPr txBox="1"/>
      </xdr:nvSpPr>
      <xdr:spPr>
        <a:xfrm>
          <a:off x="18913475" y="919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14</xdr:row>
      <xdr:rowOff>0</xdr:rowOff>
    </xdr:from>
    <xdr:ext cx="184731" cy="264560"/>
    <xdr:sp macro="" textlink="">
      <xdr:nvSpPr>
        <xdr:cNvPr id="6" name="CuadroTexto 5">
          <a:extLst>
            <a:ext uri="{FF2B5EF4-FFF2-40B4-BE49-F238E27FC236}">
              <a16:creationId xmlns:a16="http://schemas.microsoft.com/office/drawing/2014/main" id="{2EDCCC32-8F0A-42D3-9DF0-6AB17D2977EA}"/>
            </a:ext>
          </a:extLst>
        </xdr:cNvPr>
        <xdr:cNvSpPr txBox="1"/>
      </xdr:nvSpPr>
      <xdr:spPr>
        <a:xfrm>
          <a:off x="18913475" y="594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7" name="CuadroTexto 6">
          <a:extLst>
            <a:ext uri="{FF2B5EF4-FFF2-40B4-BE49-F238E27FC236}">
              <a16:creationId xmlns:a16="http://schemas.microsoft.com/office/drawing/2014/main" id="{5C9716CD-A5F1-4DC5-AD60-5D9EAAF1CEBF}"/>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8" name="CuadroTexto 7">
          <a:extLst>
            <a:ext uri="{FF2B5EF4-FFF2-40B4-BE49-F238E27FC236}">
              <a16:creationId xmlns:a16="http://schemas.microsoft.com/office/drawing/2014/main" id="{78BCEBCC-1755-446F-AAF3-ED11172A0932}"/>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9" name="CuadroTexto 8">
          <a:extLst>
            <a:ext uri="{FF2B5EF4-FFF2-40B4-BE49-F238E27FC236}">
              <a16:creationId xmlns:a16="http://schemas.microsoft.com/office/drawing/2014/main" id="{B5C3AAFA-42E9-4178-8B51-005108B57112}"/>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10" name="CuadroTexto 9">
          <a:extLst>
            <a:ext uri="{FF2B5EF4-FFF2-40B4-BE49-F238E27FC236}">
              <a16:creationId xmlns:a16="http://schemas.microsoft.com/office/drawing/2014/main" id="{CA8847B3-35E2-4B94-8D89-6DF5D76BBEEE}"/>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11" name="CuadroTexto 10">
          <a:extLst>
            <a:ext uri="{FF2B5EF4-FFF2-40B4-BE49-F238E27FC236}">
              <a16:creationId xmlns:a16="http://schemas.microsoft.com/office/drawing/2014/main" id="{0B93959F-C836-4D3F-85C0-DD14AA3CDA08}"/>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12" name="CuadroTexto 11">
          <a:extLst>
            <a:ext uri="{FF2B5EF4-FFF2-40B4-BE49-F238E27FC236}">
              <a16:creationId xmlns:a16="http://schemas.microsoft.com/office/drawing/2014/main" id="{FCB5E626-27F1-4D35-A8BC-42BD7FFA441D}"/>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13" name="CuadroTexto 12">
          <a:extLst>
            <a:ext uri="{FF2B5EF4-FFF2-40B4-BE49-F238E27FC236}">
              <a16:creationId xmlns:a16="http://schemas.microsoft.com/office/drawing/2014/main" id="{FC7D8CC4-D4F8-4775-9E3E-C27E4F675319}"/>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14" name="CuadroTexto 13">
          <a:extLst>
            <a:ext uri="{FF2B5EF4-FFF2-40B4-BE49-F238E27FC236}">
              <a16:creationId xmlns:a16="http://schemas.microsoft.com/office/drawing/2014/main" id="{84A1E480-9D35-44FF-85F0-84DE8720F0BE}"/>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15" name="CuadroTexto 14">
          <a:extLst>
            <a:ext uri="{FF2B5EF4-FFF2-40B4-BE49-F238E27FC236}">
              <a16:creationId xmlns:a16="http://schemas.microsoft.com/office/drawing/2014/main" id="{1BD805A9-3E39-407B-AA47-B35FF3C8DA99}"/>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9</xdr:row>
      <xdr:rowOff>0</xdr:rowOff>
    </xdr:from>
    <xdr:ext cx="184731" cy="264560"/>
    <xdr:sp macro="" textlink="">
      <xdr:nvSpPr>
        <xdr:cNvPr id="16" name="CuadroTexto 15">
          <a:extLst>
            <a:ext uri="{FF2B5EF4-FFF2-40B4-BE49-F238E27FC236}">
              <a16:creationId xmlns:a16="http://schemas.microsoft.com/office/drawing/2014/main" id="{7AAC7E81-A9D2-4B7D-A422-D65E2A2468AA}"/>
            </a:ext>
          </a:extLst>
        </xdr:cNvPr>
        <xdr:cNvSpPr txBox="1"/>
      </xdr:nvSpPr>
      <xdr:spPr>
        <a:xfrm>
          <a:off x="16370300" y="295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9</xdr:row>
      <xdr:rowOff>0</xdr:rowOff>
    </xdr:from>
    <xdr:ext cx="184731" cy="264560"/>
    <xdr:sp macro="" textlink="">
      <xdr:nvSpPr>
        <xdr:cNvPr id="17" name="CuadroTexto 16">
          <a:extLst>
            <a:ext uri="{FF2B5EF4-FFF2-40B4-BE49-F238E27FC236}">
              <a16:creationId xmlns:a16="http://schemas.microsoft.com/office/drawing/2014/main" id="{18FE6FD7-D396-43E3-9E25-AF2DC2FF5B62}"/>
            </a:ext>
          </a:extLst>
        </xdr:cNvPr>
        <xdr:cNvSpPr txBox="1"/>
      </xdr:nvSpPr>
      <xdr:spPr>
        <a:xfrm>
          <a:off x="16370300" y="295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9</xdr:row>
      <xdr:rowOff>0</xdr:rowOff>
    </xdr:from>
    <xdr:ext cx="184731" cy="264560"/>
    <xdr:sp macro="" textlink="">
      <xdr:nvSpPr>
        <xdr:cNvPr id="18" name="CuadroTexto 17">
          <a:extLst>
            <a:ext uri="{FF2B5EF4-FFF2-40B4-BE49-F238E27FC236}">
              <a16:creationId xmlns:a16="http://schemas.microsoft.com/office/drawing/2014/main" id="{E35DCC39-5B70-4BAF-A947-914E8C2D55FF}"/>
            </a:ext>
          </a:extLst>
        </xdr:cNvPr>
        <xdr:cNvSpPr txBox="1"/>
      </xdr:nvSpPr>
      <xdr:spPr>
        <a:xfrm>
          <a:off x="16370300" y="295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9</xdr:row>
      <xdr:rowOff>0</xdr:rowOff>
    </xdr:from>
    <xdr:ext cx="184731" cy="264560"/>
    <xdr:sp macro="" textlink="">
      <xdr:nvSpPr>
        <xdr:cNvPr id="19" name="CuadroTexto 18">
          <a:extLst>
            <a:ext uri="{FF2B5EF4-FFF2-40B4-BE49-F238E27FC236}">
              <a16:creationId xmlns:a16="http://schemas.microsoft.com/office/drawing/2014/main" id="{DFE0E80B-1F76-439E-8B84-21B0F5D62B74}"/>
            </a:ext>
          </a:extLst>
        </xdr:cNvPr>
        <xdr:cNvSpPr txBox="1"/>
      </xdr:nvSpPr>
      <xdr:spPr>
        <a:xfrm>
          <a:off x="16370300" y="295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9</xdr:row>
      <xdr:rowOff>0</xdr:rowOff>
    </xdr:from>
    <xdr:ext cx="184731" cy="264560"/>
    <xdr:sp macro="" textlink="">
      <xdr:nvSpPr>
        <xdr:cNvPr id="20" name="CuadroTexto 19">
          <a:extLst>
            <a:ext uri="{FF2B5EF4-FFF2-40B4-BE49-F238E27FC236}">
              <a16:creationId xmlns:a16="http://schemas.microsoft.com/office/drawing/2014/main" id="{3C0F1BC8-14E5-4F54-9B0F-593947766306}"/>
            </a:ext>
          </a:extLst>
        </xdr:cNvPr>
        <xdr:cNvSpPr txBox="1"/>
      </xdr:nvSpPr>
      <xdr:spPr>
        <a:xfrm>
          <a:off x="16370300" y="295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9</xdr:row>
      <xdr:rowOff>0</xdr:rowOff>
    </xdr:from>
    <xdr:ext cx="184731" cy="264560"/>
    <xdr:sp macro="" textlink="">
      <xdr:nvSpPr>
        <xdr:cNvPr id="21" name="CuadroTexto 20">
          <a:extLst>
            <a:ext uri="{FF2B5EF4-FFF2-40B4-BE49-F238E27FC236}">
              <a16:creationId xmlns:a16="http://schemas.microsoft.com/office/drawing/2014/main" id="{508E3884-041F-4BCB-8374-6A54FC3A3A48}"/>
            </a:ext>
          </a:extLst>
        </xdr:cNvPr>
        <xdr:cNvSpPr txBox="1"/>
      </xdr:nvSpPr>
      <xdr:spPr>
        <a:xfrm>
          <a:off x="16370300" y="2952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11</xdr:row>
      <xdr:rowOff>0</xdr:rowOff>
    </xdr:from>
    <xdr:ext cx="184731" cy="264560"/>
    <xdr:sp macro="" textlink="">
      <xdr:nvSpPr>
        <xdr:cNvPr id="22" name="CuadroTexto 21">
          <a:extLst>
            <a:ext uri="{FF2B5EF4-FFF2-40B4-BE49-F238E27FC236}">
              <a16:creationId xmlns:a16="http://schemas.microsoft.com/office/drawing/2014/main" id="{1C82F1A4-5570-4FB5-8830-BC3FC437DD72}"/>
            </a:ext>
          </a:extLst>
        </xdr:cNvPr>
        <xdr:cNvSpPr txBox="1"/>
      </xdr:nvSpPr>
      <xdr:spPr>
        <a:xfrm>
          <a:off x="16370300" y="529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23" name="CuadroTexto 22">
          <a:extLst>
            <a:ext uri="{FF2B5EF4-FFF2-40B4-BE49-F238E27FC236}">
              <a16:creationId xmlns:a16="http://schemas.microsoft.com/office/drawing/2014/main" id="{7A922A38-725B-40F7-BC6A-B40741F0D245}"/>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24" name="CuadroTexto 23">
          <a:extLst>
            <a:ext uri="{FF2B5EF4-FFF2-40B4-BE49-F238E27FC236}">
              <a16:creationId xmlns:a16="http://schemas.microsoft.com/office/drawing/2014/main" id="{E28A7266-34E0-4EDC-A7BE-4525E7F17332}"/>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25" name="CuadroTexto 24">
          <a:extLst>
            <a:ext uri="{FF2B5EF4-FFF2-40B4-BE49-F238E27FC236}">
              <a16:creationId xmlns:a16="http://schemas.microsoft.com/office/drawing/2014/main" id="{A74F9B44-9B54-4644-A96B-CF80C13AD684}"/>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26" name="CuadroTexto 25">
          <a:extLst>
            <a:ext uri="{FF2B5EF4-FFF2-40B4-BE49-F238E27FC236}">
              <a16:creationId xmlns:a16="http://schemas.microsoft.com/office/drawing/2014/main" id="{2869BEFA-F40C-4A92-BD2C-FCC79C6748DC}"/>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6</xdr:row>
      <xdr:rowOff>0</xdr:rowOff>
    </xdr:from>
    <xdr:ext cx="184731" cy="264560"/>
    <xdr:sp macro="" textlink="">
      <xdr:nvSpPr>
        <xdr:cNvPr id="27" name="CuadroTexto 26">
          <a:extLst>
            <a:ext uri="{FF2B5EF4-FFF2-40B4-BE49-F238E27FC236}">
              <a16:creationId xmlns:a16="http://schemas.microsoft.com/office/drawing/2014/main" id="{C498548A-31EF-4D04-8A08-703DDB80558B}"/>
            </a:ext>
          </a:extLst>
        </xdr:cNvPr>
        <xdr:cNvSpPr txBox="1"/>
      </xdr:nvSpPr>
      <xdr:spPr>
        <a:xfrm>
          <a:off x="1637030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6</xdr:row>
      <xdr:rowOff>0</xdr:rowOff>
    </xdr:from>
    <xdr:ext cx="184731" cy="264560"/>
    <xdr:sp macro="" textlink="">
      <xdr:nvSpPr>
        <xdr:cNvPr id="28" name="CuadroTexto 27">
          <a:extLst>
            <a:ext uri="{FF2B5EF4-FFF2-40B4-BE49-F238E27FC236}">
              <a16:creationId xmlns:a16="http://schemas.microsoft.com/office/drawing/2014/main" id="{24E66604-9239-4BEB-9A7E-3EBA6E97D5FF}"/>
            </a:ext>
          </a:extLst>
        </xdr:cNvPr>
        <xdr:cNvSpPr txBox="1"/>
      </xdr:nvSpPr>
      <xdr:spPr>
        <a:xfrm>
          <a:off x="1637030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6</xdr:row>
      <xdr:rowOff>0</xdr:rowOff>
    </xdr:from>
    <xdr:ext cx="184731" cy="264560"/>
    <xdr:sp macro="" textlink="">
      <xdr:nvSpPr>
        <xdr:cNvPr id="29" name="CuadroTexto 28">
          <a:extLst>
            <a:ext uri="{FF2B5EF4-FFF2-40B4-BE49-F238E27FC236}">
              <a16:creationId xmlns:a16="http://schemas.microsoft.com/office/drawing/2014/main" id="{59A45D5B-7FAE-4615-A9C5-3ACA2BFA917F}"/>
            </a:ext>
          </a:extLst>
        </xdr:cNvPr>
        <xdr:cNvSpPr txBox="1"/>
      </xdr:nvSpPr>
      <xdr:spPr>
        <a:xfrm>
          <a:off x="16370300" y="683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30" name="CuadroTexto 29">
          <a:extLst>
            <a:ext uri="{FF2B5EF4-FFF2-40B4-BE49-F238E27FC236}">
              <a16:creationId xmlns:a16="http://schemas.microsoft.com/office/drawing/2014/main" id="{76BA85C9-0FB2-45FA-972A-FD1C4B748268}"/>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12</xdr:row>
      <xdr:rowOff>0</xdr:rowOff>
    </xdr:from>
    <xdr:ext cx="184731" cy="264560"/>
    <xdr:sp macro="" textlink="">
      <xdr:nvSpPr>
        <xdr:cNvPr id="31" name="CuadroTexto 30">
          <a:extLst>
            <a:ext uri="{FF2B5EF4-FFF2-40B4-BE49-F238E27FC236}">
              <a16:creationId xmlns:a16="http://schemas.microsoft.com/office/drawing/2014/main" id="{BE592835-1583-4134-A733-0BB908C25BEB}"/>
            </a:ext>
          </a:extLst>
        </xdr:cNvPr>
        <xdr:cNvSpPr txBox="1"/>
      </xdr:nvSpPr>
      <xdr:spPr>
        <a:xfrm>
          <a:off x="16370300" y="824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13</xdr:row>
      <xdr:rowOff>0</xdr:rowOff>
    </xdr:from>
    <xdr:ext cx="184731" cy="264560"/>
    <xdr:sp macro="" textlink="">
      <xdr:nvSpPr>
        <xdr:cNvPr id="32" name="CuadroTexto 31">
          <a:extLst>
            <a:ext uri="{FF2B5EF4-FFF2-40B4-BE49-F238E27FC236}">
              <a16:creationId xmlns:a16="http://schemas.microsoft.com/office/drawing/2014/main" id="{0BF72C76-3132-4B46-8702-BA8B5A7241D8}"/>
            </a:ext>
          </a:extLst>
        </xdr:cNvPr>
        <xdr:cNvSpPr txBox="1"/>
      </xdr:nvSpPr>
      <xdr:spPr>
        <a:xfrm>
          <a:off x="16370300" y="9324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13</xdr:row>
      <xdr:rowOff>0</xdr:rowOff>
    </xdr:from>
    <xdr:ext cx="184731" cy="264560"/>
    <xdr:sp macro="" textlink="">
      <xdr:nvSpPr>
        <xdr:cNvPr id="33" name="CuadroTexto 32">
          <a:extLst>
            <a:ext uri="{FF2B5EF4-FFF2-40B4-BE49-F238E27FC236}">
              <a16:creationId xmlns:a16="http://schemas.microsoft.com/office/drawing/2014/main" id="{D04A3169-327D-4464-AAED-157D41F385B6}"/>
            </a:ext>
          </a:extLst>
        </xdr:cNvPr>
        <xdr:cNvSpPr txBox="1"/>
      </xdr:nvSpPr>
      <xdr:spPr>
        <a:xfrm>
          <a:off x="16370300" y="9324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34" name="CuadroTexto 33">
          <a:extLst>
            <a:ext uri="{FF2B5EF4-FFF2-40B4-BE49-F238E27FC236}">
              <a16:creationId xmlns:a16="http://schemas.microsoft.com/office/drawing/2014/main" id="{54E974D4-2559-42B4-9539-EC9710B1E60E}"/>
            </a:ext>
          </a:extLst>
        </xdr:cNvPr>
        <xdr:cNvSpPr txBox="1"/>
      </xdr:nvSpPr>
      <xdr:spPr>
        <a:xfrm>
          <a:off x="20794133" y="15409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35" name="CuadroTexto 34">
          <a:extLst>
            <a:ext uri="{FF2B5EF4-FFF2-40B4-BE49-F238E27FC236}">
              <a16:creationId xmlns:a16="http://schemas.microsoft.com/office/drawing/2014/main" id="{79FD7C2D-9908-4747-8EAF-C9E7EAA87EE9}"/>
            </a:ext>
          </a:extLst>
        </xdr:cNvPr>
        <xdr:cNvSpPr txBox="1"/>
      </xdr:nvSpPr>
      <xdr:spPr>
        <a:xfrm>
          <a:off x="20794133" y="15409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36" name="CuadroTexto 35">
          <a:extLst>
            <a:ext uri="{FF2B5EF4-FFF2-40B4-BE49-F238E27FC236}">
              <a16:creationId xmlns:a16="http://schemas.microsoft.com/office/drawing/2014/main" id="{A93C48B7-67F8-4D13-A614-896CF6EF8C8D}"/>
            </a:ext>
          </a:extLst>
        </xdr:cNvPr>
        <xdr:cNvSpPr txBox="1"/>
      </xdr:nvSpPr>
      <xdr:spPr>
        <a:xfrm>
          <a:off x="20794133" y="15409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37" name="CuadroTexto 36">
          <a:extLst>
            <a:ext uri="{FF2B5EF4-FFF2-40B4-BE49-F238E27FC236}">
              <a16:creationId xmlns:a16="http://schemas.microsoft.com/office/drawing/2014/main" id="{9DC12A83-B0A8-4346-B355-03F76466F90F}"/>
            </a:ext>
          </a:extLst>
        </xdr:cNvPr>
        <xdr:cNvSpPr txBox="1"/>
      </xdr:nvSpPr>
      <xdr:spPr>
        <a:xfrm>
          <a:off x="20794133" y="15409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38" name="CuadroTexto 37">
          <a:extLst>
            <a:ext uri="{FF2B5EF4-FFF2-40B4-BE49-F238E27FC236}">
              <a16:creationId xmlns:a16="http://schemas.microsoft.com/office/drawing/2014/main" id="{DE632A9E-EC5C-4E05-A994-0871F5A9FC94}"/>
            </a:ext>
          </a:extLst>
        </xdr:cNvPr>
        <xdr:cNvSpPr txBox="1"/>
      </xdr:nvSpPr>
      <xdr:spPr>
        <a:xfrm>
          <a:off x="20794133" y="15409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44" name="CuadroTexto 43">
          <a:extLst>
            <a:ext uri="{FF2B5EF4-FFF2-40B4-BE49-F238E27FC236}">
              <a16:creationId xmlns:a16="http://schemas.microsoft.com/office/drawing/2014/main" id="{C59ACE28-BCEB-4843-8A48-E0944BD90DAF}"/>
            </a:ext>
          </a:extLst>
        </xdr:cNvPr>
        <xdr:cNvSpPr txBox="1"/>
      </xdr:nvSpPr>
      <xdr:spPr>
        <a:xfrm>
          <a:off x="20794133" y="16433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45" name="CuadroTexto 44">
          <a:extLst>
            <a:ext uri="{FF2B5EF4-FFF2-40B4-BE49-F238E27FC236}">
              <a16:creationId xmlns:a16="http://schemas.microsoft.com/office/drawing/2014/main" id="{F58FA475-0C1E-4C38-ACFB-A70B0527A821}"/>
            </a:ext>
          </a:extLst>
        </xdr:cNvPr>
        <xdr:cNvSpPr txBox="1"/>
      </xdr:nvSpPr>
      <xdr:spPr>
        <a:xfrm>
          <a:off x="20794133" y="16433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46" name="CuadroTexto 45">
          <a:extLst>
            <a:ext uri="{FF2B5EF4-FFF2-40B4-BE49-F238E27FC236}">
              <a16:creationId xmlns:a16="http://schemas.microsoft.com/office/drawing/2014/main" id="{08411319-260F-4854-9816-60DA9425D12C}"/>
            </a:ext>
          </a:extLst>
        </xdr:cNvPr>
        <xdr:cNvSpPr txBox="1"/>
      </xdr:nvSpPr>
      <xdr:spPr>
        <a:xfrm>
          <a:off x="20794133" y="16433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47" name="CuadroTexto 46">
          <a:extLst>
            <a:ext uri="{FF2B5EF4-FFF2-40B4-BE49-F238E27FC236}">
              <a16:creationId xmlns:a16="http://schemas.microsoft.com/office/drawing/2014/main" id="{0BEA76BA-5415-40D5-8E36-0916E8611560}"/>
            </a:ext>
          </a:extLst>
        </xdr:cNvPr>
        <xdr:cNvSpPr txBox="1"/>
      </xdr:nvSpPr>
      <xdr:spPr>
        <a:xfrm>
          <a:off x="20794133" y="16433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48" name="CuadroTexto 47">
          <a:extLst>
            <a:ext uri="{FF2B5EF4-FFF2-40B4-BE49-F238E27FC236}">
              <a16:creationId xmlns:a16="http://schemas.microsoft.com/office/drawing/2014/main" id="{32D85571-2204-47E8-86F2-850A996BB219}"/>
            </a:ext>
          </a:extLst>
        </xdr:cNvPr>
        <xdr:cNvSpPr txBox="1"/>
      </xdr:nvSpPr>
      <xdr:spPr>
        <a:xfrm>
          <a:off x="20794133" y="16433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49" name="CuadroTexto 48">
          <a:extLst>
            <a:ext uri="{FF2B5EF4-FFF2-40B4-BE49-F238E27FC236}">
              <a16:creationId xmlns:a16="http://schemas.microsoft.com/office/drawing/2014/main" id="{4AE18479-9067-4137-B987-B264FE9CCA56}"/>
            </a:ext>
          </a:extLst>
        </xdr:cNvPr>
        <xdr:cNvSpPr txBox="1"/>
      </xdr:nvSpPr>
      <xdr:spPr>
        <a:xfrm>
          <a:off x="20794133" y="1727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50" name="CuadroTexto 49">
          <a:extLst>
            <a:ext uri="{FF2B5EF4-FFF2-40B4-BE49-F238E27FC236}">
              <a16:creationId xmlns:a16="http://schemas.microsoft.com/office/drawing/2014/main" id="{D49EA125-AF4C-46E8-9398-4F8281FB5DC8}"/>
            </a:ext>
          </a:extLst>
        </xdr:cNvPr>
        <xdr:cNvSpPr txBox="1"/>
      </xdr:nvSpPr>
      <xdr:spPr>
        <a:xfrm>
          <a:off x="20794133" y="1727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51" name="CuadroTexto 50">
          <a:extLst>
            <a:ext uri="{FF2B5EF4-FFF2-40B4-BE49-F238E27FC236}">
              <a16:creationId xmlns:a16="http://schemas.microsoft.com/office/drawing/2014/main" id="{16CA5A25-8E5B-48CF-9E0D-F70527DC988F}"/>
            </a:ext>
          </a:extLst>
        </xdr:cNvPr>
        <xdr:cNvSpPr txBox="1"/>
      </xdr:nvSpPr>
      <xdr:spPr>
        <a:xfrm>
          <a:off x="20794133" y="1727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52" name="CuadroTexto 51">
          <a:extLst>
            <a:ext uri="{FF2B5EF4-FFF2-40B4-BE49-F238E27FC236}">
              <a16:creationId xmlns:a16="http://schemas.microsoft.com/office/drawing/2014/main" id="{6902A7B2-2CFC-4E5F-869B-7F6820D964A0}"/>
            </a:ext>
          </a:extLst>
        </xdr:cNvPr>
        <xdr:cNvSpPr txBox="1"/>
      </xdr:nvSpPr>
      <xdr:spPr>
        <a:xfrm>
          <a:off x="20794133" y="1727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25</xdr:col>
      <xdr:colOff>177800</xdr:colOff>
      <xdr:row>15</xdr:row>
      <xdr:rowOff>0</xdr:rowOff>
    </xdr:from>
    <xdr:ext cx="184731" cy="264560"/>
    <xdr:sp macro="" textlink="">
      <xdr:nvSpPr>
        <xdr:cNvPr id="53" name="CuadroTexto 52">
          <a:extLst>
            <a:ext uri="{FF2B5EF4-FFF2-40B4-BE49-F238E27FC236}">
              <a16:creationId xmlns:a16="http://schemas.microsoft.com/office/drawing/2014/main" id="{EAE5B886-4841-4F7E-B9D3-43312FA31279}"/>
            </a:ext>
          </a:extLst>
        </xdr:cNvPr>
        <xdr:cNvSpPr txBox="1"/>
      </xdr:nvSpPr>
      <xdr:spPr>
        <a:xfrm>
          <a:off x="20794133" y="1727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F0BEBA-D05F-E343-AE00-AB9E4E5ECA3B}">
  <we:reference id="wa200009404" version="1.0.0.8" store="en-US" storeType="OMEX"/>
  <we:alternateReferences>
    <we:reference id="WA200009404" version="1.0.0.8" store="" storeType="OMEX"/>
  </we:alternateReferences>
  <we:properties>
    <we:property name="claude.fileId" value="&quot;d53aa7b7-5855-4706-b77e-7778394efea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26"/>
  <sheetViews>
    <sheetView showGridLines="0" tabSelected="1" zoomScale="90" zoomScaleNormal="90" zoomScalePageLayoutView="70" workbookViewId="0">
      <pane xSplit="1" ySplit="5" topLeftCell="B6" activePane="bottomRight" state="frozen"/>
      <selection pane="topRight" activeCell="B1" sqref="B1"/>
      <selection pane="bottomLeft" activeCell="A6" sqref="A6"/>
      <selection pane="bottomRight" activeCell="Q1" sqref="Q1:Q1048576"/>
    </sheetView>
  </sheetViews>
  <sheetFormatPr baseColWidth="10" defaultColWidth="11.5" defaultRowHeight="13" x14ac:dyDescent="0.2"/>
  <cols>
    <col min="1" max="1" width="3.5" style="3" customWidth="1"/>
    <col min="2" max="2" width="4.83203125" style="1" customWidth="1"/>
    <col min="3" max="4" width="4.33203125" style="2" bestFit="1" customWidth="1"/>
    <col min="5" max="5" width="6.83203125" style="2" bestFit="1" customWidth="1"/>
    <col min="6" max="6" width="4.33203125" style="3" bestFit="1" customWidth="1"/>
    <col min="7" max="7" width="40" style="160" customWidth="1"/>
    <col min="8" max="8" width="44.83203125" style="160" customWidth="1"/>
    <col min="9" max="9" width="6.83203125" style="2" customWidth="1"/>
    <col min="10" max="10" width="9" style="3" customWidth="1"/>
    <col min="11" max="11" width="6.6640625" style="3" customWidth="1"/>
    <col min="12" max="12" width="9.1640625" style="3" customWidth="1"/>
    <col min="13" max="13" width="5.83203125" style="4" customWidth="1"/>
    <col min="14" max="14" width="8.6640625" style="3" customWidth="1"/>
    <col min="15" max="15" width="7.6640625" style="3" customWidth="1"/>
    <col min="16" max="16" width="8" style="3" customWidth="1"/>
    <col min="17" max="17" width="60.1640625" style="165" customWidth="1"/>
    <col min="18" max="18" width="6.6640625" style="3" customWidth="1"/>
    <col min="19" max="19" width="10.5" style="3" customWidth="1"/>
    <col min="20" max="20" width="6.83203125" style="3" customWidth="1"/>
    <col min="21" max="21" width="9" style="3" customWidth="1"/>
    <col min="22" max="22" width="6.83203125" style="5" customWidth="1"/>
    <col min="23" max="23" width="8.33203125" style="3" customWidth="1"/>
    <col min="24" max="24" width="14" style="3" customWidth="1"/>
    <col min="25" max="25" width="15.6640625" style="3" customWidth="1"/>
    <col min="26" max="26" width="13.33203125" style="3" customWidth="1"/>
    <col min="27" max="27" width="17" style="3" customWidth="1"/>
    <col min="28" max="28" width="16.5" style="3" customWidth="1"/>
    <col min="29" max="29" width="16.33203125" style="3" customWidth="1"/>
    <col min="30" max="16384" width="11.5" style="3"/>
  </cols>
  <sheetData>
    <row r="1" spans="2:29" ht="15.75" customHeight="1" thickBot="1" x14ac:dyDescent="0.25"/>
    <row r="2" spans="2:29" ht="76.5" customHeight="1" x14ac:dyDescent="0.2">
      <c r="B2" s="115" t="s">
        <v>0</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7"/>
    </row>
    <row r="3" spans="2:29" ht="40.5" customHeight="1" x14ac:dyDescent="0.2">
      <c r="B3" s="118" t="s">
        <v>1</v>
      </c>
      <c r="C3" s="119"/>
      <c r="D3" s="119"/>
      <c r="E3" s="119"/>
      <c r="F3" s="119"/>
      <c r="G3" s="119"/>
      <c r="H3" s="119"/>
      <c r="I3" s="119" t="s">
        <v>2</v>
      </c>
      <c r="J3" s="119"/>
      <c r="K3" s="119"/>
      <c r="L3" s="119"/>
      <c r="M3" s="119"/>
      <c r="N3" s="119"/>
      <c r="O3" s="119" t="s">
        <v>3</v>
      </c>
      <c r="P3" s="119"/>
      <c r="Q3" s="119"/>
      <c r="R3" s="120" t="s">
        <v>248</v>
      </c>
      <c r="S3" s="120"/>
      <c r="T3" s="120"/>
      <c r="U3" s="120"/>
      <c r="V3" s="120"/>
      <c r="W3" s="120"/>
      <c r="X3" s="121" t="s">
        <v>4</v>
      </c>
      <c r="Y3" s="121"/>
      <c r="Z3" s="121"/>
      <c r="AA3" s="121"/>
      <c r="AB3" s="121"/>
      <c r="AC3" s="122"/>
    </row>
    <row r="4" spans="2:29" ht="29.25" customHeight="1" x14ac:dyDescent="0.2">
      <c r="B4" s="114" t="s">
        <v>251</v>
      </c>
      <c r="C4" s="126" t="s">
        <v>169</v>
      </c>
      <c r="D4" s="126" t="s">
        <v>5</v>
      </c>
      <c r="E4" s="127" t="s">
        <v>6</v>
      </c>
      <c r="F4" s="126" t="s">
        <v>7</v>
      </c>
      <c r="G4" s="161" t="s">
        <v>8</v>
      </c>
      <c r="H4" s="161" t="s">
        <v>9</v>
      </c>
      <c r="I4" s="124" t="s">
        <v>10</v>
      </c>
      <c r="J4" s="124"/>
      <c r="K4" s="124" t="s">
        <v>11</v>
      </c>
      <c r="L4" s="124"/>
      <c r="M4" s="123" t="s">
        <v>249</v>
      </c>
      <c r="N4" s="123"/>
      <c r="O4" s="124" t="s">
        <v>250</v>
      </c>
      <c r="P4" s="124"/>
      <c r="Q4" s="166" t="s">
        <v>12</v>
      </c>
      <c r="R4" s="124" t="s">
        <v>10</v>
      </c>
      <c r="S4" s="124"/>
      <c r="T4" s="124" t="s">
        <v>11</v>
      </c>
      <c r="U4" s="124"/>
      <c r="V4" s="123" t="s">
        <v>249</v>
      </c>
      <c r="W4" s="123"/>
      <c r="X4" s="124" t="s">
        <v>13</v>
      </c>
      <c r="Y4" s="124"/>
      <c r="Z4" s="124"/>
      <c r="AA4" s="124"/>
      <c r="AB4" s="124" t="s">
        <v>14</v>
      </c>
      <c r="AC4" s="125"/>
    </row>
    <row r="5" spans="2:29" ht="60" customHeight="1" x14ac:dyDescent="0.2">
      <c r="B5" s="114"/>
      <c r="C5" s="126"/>
      <c r="D5" s="126"/>
      <c r="E5" s="127"/>
      <c r="F5" s="126"/>
      <c r="G5" s="161"/>
      <c r="H5" s="161"/>
      <c r="I5" s="6" t="s">
        <v>15</v>
      </c>
      <c r="J5" s="34" t="s">
        <v>16</v>
      </c>
      <c r="K5" s="6" t="s">
        <v>15</v>
      </c>
      <c r="L5" s="6" t="s">
        <v>17</v>
      </c>
      <c r="M5" s="7" t="s">
        <v>18</v>
      </c>
      <c r="N5" s="34" t="s">
        <v>19</v>
      </c>
      <c r="O5" s="8" t="s">
        <v>20</v>
      </c>
      <c r="P5" s="8" t="s">
        <v>252</v>
      </c>
      <c r="Q5" s="166"/>
      <c r="R5" s="6" t="s">
        <v>15</v>
      </c>
      <c r="S5" s="34" t="s">
        <v>21</v>
      </c>
      <c r="T5" s="6" t="s">
        <v>15</v>
      </c>
      <c r="U5" s="34" t="s">
        <v>22</v>
      </c>
      <c r="V5" s="7" t="s">
        <v>18</v>
      </c>
      <c r="W5" s="34" t="s">
        <v>19</v>
      </c>
      <c r="X5" s="33" t="s">
        <v>163</v>
      </c>
      <c r="Y5" s="33" t="s">
        <v>23</v>
      </c>
      <c r="Z5" s="33" t="s">
        <v>24</v>
      </c>
      <c r="AA5" s="33" t="s">
        <v>25</v>
      </c>
      <c r="AB5" s="33" t="s">
        <v>26</v>
      </c>
      <c r="AC5" s="84" t="s">
        <v>27</v>
      </c>
    </row>
    <row r="6" spans="2:29" s="35" customFormat="1" ht="135" customHeight="1" x14ac:dyDescent="0.2">
      <c r="B6" s="107">
        <v>1</v>
      </c>
      <c r="C6" s="45" t="s">
        <v>28</v>
      </c>
      <c r="D6" s="46" t="s">
        <v>29</v>
      </c>
      <c r="E6" s="46" t="s">
        <v>260</v>
      </c>
      <c r="F6" s="45" t="s">
        <v>30</v>
      </c>
      <c r="G6" s="162" t="s">
        <v>31</v>
      </c>
      <c r="H6" s="163" t="s">
        <v>32</v>
      </c>
      <c r="I6" s="41">
        <v>2</v>
      </c>
      <c r="J6" s="39" t="str">
        <f t="shared" ref="J6" si="0">IF(I6=0,"",IF(I6=5,"CASI CIERTO",IF(I6=4,"PROBABLE",IF(I6=3,"POSIBLE",IF(I6=2,"IMPROBABLE","RARO")))))</f>
        <v>IMPROBABLE</v>
      </c>
      <c r="K6" s="47">
        <v>3</v>
      </c>
      <c r="L6" s="39" t="str">
        <f t="shared" ref="L6" si="1">IF(K6=0,"",IF(K6=5,"CATASTRÓFICO",IF(K6=4,"MAYOR",IF(K6=3,"MODERADO",IF(K6=2,"MENOR","INSIGNIFICANTE")))))</f>
        <v>MODERADO</v>
      </c>
      <c r="M6" s="48">
        <f t="shared" ref="M6" si="2">SUM(I6:J6)+SUM(K6:L6)</f>
        <v>5</v>
      </c>
      <c r="N6" s="42" t="str">
        <f t="shared" ref="N6" si="3">IF(M6=0,"",IF(M6&gt;7.9,"EXTREMO",IF(M6&gt;5.9,"ALTO",IF(M6&gt;4.9,"MEDIO",IF(M6&gt;2.9,"BAJO","MUY BAJO")))))</f>
        <v>MEDIO</v>
      </c>
      <c r="O6" s="44">
        <v>1</v>
      </c>
      <c r="P6" s="44"/>
      <c r="Q6" s="167" t="s">
        <v>241</v>
      </c>
      <c r="R6" s="49">
        <v>1</v>
      </c>
      <c r="S6" s="39" t="str">
        <f t="shared" ref="S6" si="4">IF(R6=0,"",IF(R6=5,"CASI CIERTO",IF(R6=4,"PROBABLE",IF(R6=3,"POSIBLE",IF(R6=2,"IMPROBABLE","RARO")))))</f>
        <v>RARO</v>
      </c>
      <c r="T6" s="49">
        <v>3</v>
      </c>
      <c r="U6" s="39" t="str">
        <f t="shared" ref="U6" si="5">IF(T6=0,"",IF(T6=5,"CATASTRÓFICO",IF(T6=4,"MAYOR",IF(T6=3,"MODERADO",IF(T6=2,"MENOR","INSIGNIFICANTE")))))</f>
        <v>MODERADO</v>
      </c>
      <c r="V6" s="48">
        <f t="shared" ref="V6" si="6">+T6+R6</f>
        <v>4</v>
      </c>
      <c r="W6" s="42" t="str">
        <f t="shared" ref="W6" si="7">IF(V6=0,"",IF(V6&gt;7.9,"EXTREMO",IF(V6&gt;5.9,"ALTO",IF(V6&gt;4.9,"MEDIO",IF(V6&gt;2.9,"BAJO","MUY BAJO")))))</f>
        <v>BAJO</v>
      </c>
      <c r="X6" s="50" t="s">
        <v>33</v>
      </c>
      <c r="Y6" s="50" t="s">
        <v>34</v>
      </c>
      <c r="Z6" s="51" t="s">
        <v>35</v>
      </c>
      <c r="AA6" s="51" t="s">
        <v>36</v>
      </c>
      <c r="AB6" s="50" t="s">
        <v>37</v>
      </c>
      <c r="AC6" s="52" t="s">
        <v>38</v>
      </c>
    </row>
    <row r="7" spans="2:29" s="31" customFormat="1" ht="103.5" customHeight="1" x14ac:dyDescent="0.2">
      <c r="B7" s="108">
        <v>2</v>
      </c>
      <c r="C7" s="45" t="s">
        <v>28</v>
      </c>
      <c r="D7" s="46" t="s">
        <v>29</v>
      </c>
      <c r="E7" s="46" t="s">
        <v>39</v>
      </c>
      <c r="F7" s="45" t="s">
        <v>30</v>
      </c>
      <c r="G7" s="162" t="s">
        <v>40</v>
      </c>
      <c r="H7" s="163" t="s">
        <v>41</v>
      </c>
      <c r="I7" s="41">
        <v>3</v>
      </c>
      <c r="J7" s="39" t="str">
        <f>IF(I7=0,"",IF(I7=5,"CASI CIERTO",IF(I7=4,"PROBABLE",IF(I7=3,"POSIBLE",IF(I7=2,"IMPROBABLE","RARO")))))</f>
        <v>POSIBLE</v>
      </c>
      <c r="K7" s="47">
        <v>4</v>
      </c>
      <c r="L7" s="39" t="str">
        <f>IF(K7=0,"",IF(K7=5,"CATASTRÓFICO",IF(K7=4,"MAYOR",IF(K7=3,"MODERADO",IF(K7=2,"MENOR","INSIGNIFICANTE")))))</f>
        <v>MAYOR</v>
      </c>
      <c r="M7" s="48">
        <f>+I7+K7</f>
        <v>7</v>
      </c>
      <c r="N7" s="53" t="str">
        <f>IF(M7=0,"",IF(M7&gt;7.9,"EXTREMO",IF(M7&gt;5.9,"ALTO",IF(M7&gt;4.9,"MEDIO",IF(M7&gt;2.9,"BAJO","MUY BAJO")))))</f>
        <v>ALTO</v>
      </c>
      <c r="O7" s="44"/>
      <c r="P7" s="44">
        <v>1</v>
      </c>
      <c r="Q7" s="167" t="s">
        <v>266</v>
      </c>
      <c r="R7" s="41">
        <v>2</v>
      </c>
      <c r="S7" s="39" t="str">
        <f>IF(R7=0,"",IF(R7=5,"CASI CIERTO",IF(R7=4,"PROBABLE",IF(R7=3,"POSIBLE",IF(R7=2,"IMPROBABLE","RARO")))))</f>
        <v>IMPROBABLE</v>
      </c>
      <c r="T7" s="41">
        <v>4</v>
      </c>
      <c r="U7" s="39" t="str">
        <f>IF(T7=0,"",IF(T7=5,"CATASTRÓFICO",IF(T7=4,"MAYOR",IF(T7=3,"MODERADO",IF(T7=2,"MENOR","INSIGNIFICANTE")))))</f>
        <v>MAYOR</v>
      </c>
      <c r="V7" s="48">
        <f>+R7+T7</f>
        <v>6</v>
      </c>
      <c r="W7" s="53" t="str">
        <f>IF(V7=0,"",IF(V7&gt;7.9,"EXTREMO",IF(V7&gt;5.9,"ALTO",IF(V7&gt;4.9,"MEDIO",IF(V7&gt;2.9,"BAJO","MUY BAJO")))))</f>
        <v>ALTO</v>
      </c>
      <c r="X7" s="50" t="s">
        <v>33</v>
      </c>
      <c r="Y7" s="50" t="s">
        <v>42</v>
      </c>
      <c r="Z7" s="51" t="s">
        <v>43</v>
      </c>
      <c r="AA7" s="51" t="s">
        <v>44</v>
      </c>
      <c r="AB7" s="50" t="s">
        <v>45</v>
      </c>
      <c r="AC7" s="85" t="s">
        <v>46</v>
      </c>
    </row>
    <row r="8" spans="2:29" ht="143" customHeight="1" x14ac:dyDescent="0.2">
      <c r="B8" s="107">
        <v>3</v>
      </c>
      <c r="C8" s="45" t="s">
        <v>47</v>
      </c>
      <c r="D8" s="46" t="s">
        <v>48</v>
      </c>
      <c r="E8" s="46" t="s">
        <v>49</v>
      </c>
      <c r="F8" s="45" t="s">
        <v>50</v>
      </c>
      <c r="G8" s="163" t="s">
        <v>253</v>
      </c>
      <c r="H8" s="163" t="s">
        <v>254</v>
      </c>
      <c r="I8" s="41">
        <v>3</v>
      </c>
      <c r="J8" s="39" t="str">
        <f t="shared" ref="J8" si="8">IF(I8=0,"",IF(I8=5,"CASI CIERTO",IF(I8=4,"PROBABLE",IF(I8=3,"POSIBLE",IF(I8=2,"IMPROBABLE","RARO")))))</f>
        <v>POSIBLE</v>
      </c>
      <c r="K8" s="47">
        <v>4</v>
      </c>
      <c r="L8" s="39" t="str">
        <f t="shared" ref="L8" si="9">IF(K8=0,"",IF(K8=5,"CATASTRÓFICO",IF(K8=4,"MAYOR",IF(K8=3,"MODERADO",IF(K8=2,"MENOR","INSIGNIFICANTE")))))</f>
        <v>MAYOR</v>
      </c>
      <c r="M8" s="48">
        <f t="shared" ref="M8" si="10">+K8+I8</f>
        <v>7</v>
      </c>
      <c r="N8" s="53" t="str">
        <f t="shared" ref="N8" si="11">IF(M8=0,"",IF(M8&gt;7.9,"EXTREMO",IF(M8&gt;5.9,"ALTO",IF(M8&gt;4.9,"MEDIO",IF(M8&gt;2.9,"BAJO","MUY BAJO")))))</f>
        <v>ALTO</v>
      </c>
      <c r="O8" s="44"/>
      <c r="P8" s="44">
        <v>1</v>
      </c>
      <c r="Q8" s="167" t="s">
        <v>242</v>
      </c>
      <c r="R8" s="41">
        <v>2</v>
      </c>
      <c r="S8" s="39" t="str">
        <f t="shared" ref="S8" si="12">IF(R8=0,"",IF(R8=5,"CASI CIERTO",IF(R8=4,"PROBABLE",IF(R8=3,"POSIBLE",IF(R8=2,"IMPROBABLE","RARO")))))</f>
        <v>IMPROBABLE</v>
      </c>
      <c r="T8" s="41">
        <v>4</v>
      </c>
      <c r="U8" s="39" t="str">
        <f t="shared" ref="U8" si="13">IF(T8=0,"",IF(T8=5,"CATASTRÓFICO",IF(T8=4,"MAYOR",IF(T8=3,"MODERADO",IF(T8=2,"MENOR","INSIGNIFICANTE")))))</f>
        <v>MAYOR</v>
      </c>
      <c r="V8" s="48">
        <f t="shared" ref="V8" si="14">SUM(R8:S8)+SUM(T8:U8)</f>
        <v>6</v>
      </c>
      <c r="W8" s="53" t="str">
        <f t="shared" ref="W8" si="15">IF(V8=0,"",IF(V8&gt;7.9,"EXTREMO",IF(V8&gt;5.9,"ALTO",IF(V8&gt;4.9,"MEDIO",IF(V8&gt;2.9,"BAJO","MUY BAJO")))))</f>
        <v>ALTO</v>
      </c>
      <c r="X8" s="50" t="s">
        <v>33</v>
      </c>
      <c r="Y8" s="50" t="s">
        <v>51</v>
      </c>
      <c r="Z8" s="51" t="s">
        <v>52</v>
      </c>
      <c r="AA8" s="51" t="s">
        <v>53</v>
      </c>
      <c r="AB8" s="50" t="s">
        <v>54</v>
      </c>
      <c r="AC8" s="52" t="s">
        <v>38</v>
      </c>
    </row>
    <row r="9" spans="2:29" ht="123.5" customHeight="1" x14ac:dyDescent="0.2">
      <c r="B9" s="107">
        <v>4</v>
      </c>
      <c r="C9" s="45" t="s">
        <v>28</v>
      </c>
      <c r="D9" s="46" t="s">
        <v>48</v>
      </c>
      <c r="E9" s="46" t="s">
        <v>112</v>
      </c>
      <c r="F9" s="45" t="s">
        <v>30</v>
      </c>
      <c r="G9" s="163" t="s">
        <v>235</v>
      </c>
      <c r="H9" s="163" t="s">
        <v>236</v>
      </c>
      <c r="I9" s="41">
        <v>3</v>
      </c>
      <c r="J9" s="39" t="str">
        <f t="shared" ref="J9" si="16">IF(I9=0,"",IF(I9=5,"CASI CIERTO",IF(I9=4,"PROBABLE",IF(I9=3,"POSIBLE",IF(I9=2,"IMPROBABLE","RARO")))))</f>
        <v>POSIBLE</v>
      </c>
      <c r="K9" s="47">
        <v>3</v>
      </c>
      <c r="L9" s="39" t="str">
        <f t="shared" ref="L9" si="17">IF(K9=0,"",IF(K9=5,"CATASTRÓFICO",IF(K9=4,"MAYOR",IF(K9=3,"MODERADO",IF(K9=2,"MENOR","INSIGNIFICANTE")))))</f>
        <v>MODERADO</v>
      </c>
      <c r="M9" s="48">
        <f t="shared" ref="M9" si="18">+K9+I9</f>
        <v>6</v>
      </c>
      <c r="N9" s="53" t="str">
        <f t="shared" ref="N9" si="19">IF(M9=0,"",IF(M9&gt;7.9,"EXTREMO",IF(M9&gt;5.9,"ALTO",IF(M9&gt;4.9,"MEDIO",IF(M9&gt;2.9,"BAJO","MUY BAJO")))))</f>
        <v>ALTO</v>
      </c>
      <c r="O9" s="44">
        <v>0.5</v>
      </c>
      <c r="P9" s="44">
        <v>0.5</v>
      </c>
      <c r="Q9" s="167" t="s">
        <v>55</v>
      </c>
      <c r="R9" s="41">
        <v>2</v>
      </c>
      <c r="S9" s="39" t="str">
        <f t="shared" ref="S9" si="20">IF(R9=0,"",IF(R9=5,"CASI CIERTO",IF(R9=4,"PROBABLE",IF(R9=3,"POSIBLE",IF(R9=2,"IMPROBABLE","RARO")))))</f>
        <v>IMPROBABLE</v>
      </c>
      <c r="T9" s="41">
        <v>3</v>
      </c>
      <c r="U9" s="39" t="str">
        <f t="shared" ref="U9" si="21">IF(T9=0,"",IF(T9=5,"CATASTRÓFICO",IF(T9=4,"MAYOR",IF(T9=3,"MODERADO",IF(T9=2,"MENOR","INSIGNIFICANTE")))))</f>
        <v>MODERADO</v>
      </c>
      <c r="V9" s="48">
        <f t="shared" ref="V9" si="22">SUM(R9:S9)+SUM(T9:U9)</f>
        <v>5</v>
      </c>
      <c r="W9" s="53" t="str">
        <f t="shared" ref="W9" si="23">IF(V9=0,"",IF(V9&gt;7.9,"EXTREMO",IF(V9&gt;5.9,"ALTO",IF(V9&gt;4.9,"MEDIO",IF(V9&gt;2.9,"BAJO","MUY BAJO")))))</f>
        <v>MEDIO</v>
      </c>
      <c r="X9" s="50" t="s">
        <v>33</v>
      </c>
      <c r="Y9" s="50" t="s">
        <v>56</v>
      </c>
      <c r="Z9" s="51" t="s">
        <v>57</v>
      </c>
      <c r="AA9" s="51" t="s">
        <v>58</v>
      </c>
      <c r="AB9" s="51" t="s">
        <v>59</v>
      </c>
      <c r="AC9" s="52" t="s">
        <v>38</v>
      </c>
    </row>
    <row r="10" spans="2:29" s="35" customFormat="1" ht="142.5" customHeight="1" x14ac:dyDescent="0.2">
      <c r="B10" s="107">
        <v>5</v>
      </c>
      <c r="C10" s="45" t="s">
        <v>47</v>
      </c>
      <c r="D10" s="46" t="s">
        <v>48</v>
      </c>
      <c r="E10" s="46" t="s">
        <v>49</v>
      </c>
      <c r="F10" s="45" t="s">
        <v>76</v>
      </c>
      <c r="G10" s="162" t="s">
        <v>60</v>
      </c>
      <c r="H10" s="163" t="s">
        <v>255</v>
      </c>
      <c r="I10" s="41">
        <v>2</v>
      </c>
      <c r="J10" s="39" t="str">
        <f t="shared" ref="J10:J11" si="24">IF(I10=0,"",IF(I10=5,"CASI CIERTO",IF(I10=4,"PROBABLE",IF(I10=3,"POSIBLE",IF(I10=2,"IMPROBABLE","RARO")))))</f>
        <v>IMPROBABLE</v>
      </c>
      <c r="K10" s="47">
        <v>3</v>
      </c>
      <c r="L10" s="39" t="str">
        <f t="shared" ref="L10:L11" si="25">IF(K10=0,"",IF(K10=5,"CATASTRÓFICO",IF(K10=4,"MAYOR",IF(K10=3,"MODERADO",IF(K10=2,"MENOR","INSIGNIFICANTE")))))</f>
        <v>MODERADO</v>
      </c>
      <c r="M10" s="48">
        <f t="shared" ref="M10:M11" si="26">+K10+I10</f>
        <v>5</v>
      </c>
      <c r="N10" s="42" t="str">
        <f t="shared" ref="N10:N11" si="27">IF(M10=0,"",IF(M10&gt;7.9,"EXTREMO",IF(M10&gt;5.9,"ALTO",IF(M10&gt;4.9,"MEDIO",IF(M10&gt;2.9,"BAJO","MUY BAJO")))))</f>
        <v>MEDIO</v>
      </c>
      <c r="O10" s="44"/>
      <c r="P10" s="44">
        <v>1</v>
      </c>
      <c r="Q10" s="167" t="s">
        <v>243</v>
      </c>
      <c r="R10" s="41">
        <v>1</v>
      </c>
      <c r="S10" s="39" t="str">
        <f t="shared" ref="S10:S11" si="28">IF(R10=0,"",IF(R10=5,"CASI CIERTO",IF(R10=4,"PROBABLE",IF(R10=3,"POSIBLE",IF(R10=2,"IMPROBABLE","RARO")))))</f>
        <v>RARO</v>
      </c>
      <c r="T10" s="41">
        <v>3</v>
      </c>
      <c r="U10" s="39" t="str">
        <f t="shared" ref="U10:U11" si="29">IF(T10=0,"",IF(T10=5,"CATASTRÓFICO",IF(T10=4,"MAYOR",IF(T10=3,"MODERADO",IF(T10=2,"MENOR","INSIGNIFICANTE")))))</f>
        <v>MODERADO</v>
      </c>
      <c r="V10" s="48">
        <f t="shared" ref="V10" si="30">+T10+R10</f>
        <v>4</v>
      </c>
      <c r="W10" s="42" t="str">
        <f t="shared" ref="W10:W11" si="31">IF(V10=0,"",IF(V10&gt;7.9,"EXTREMO",IF(V10&gt;5.9,"ALTO",IF(V10&gt;4.9,"MEDIO",IF(V10&gt;2.9,"BAJO","MUY BAJO")))))</f>
        <v>BAJO</v>
      </c>
      <c r="X10" s="50" t="s">
        <v>33</v>
      </c>
      <c r="Y10" s="50" t="s">
        <v>51</v>
      </c>
      <c r="Z10" s="51" t="s">
        <v>52</v>
      </c>
      <c r="AA10" s="51" t="s">
        <v>53</v>
      </c>
      <c r="AB10" s="54" t="s">
        <v>54</v>
      </c>
      <c r="AC10" s="52" t="s">
        <v>38</v>
      </c>
    </row>
    <row r="11" spans="2:29" ht="139.5" customHeight="1" x14ac:dyDescent="0.2">
      <c r="B11" s="107">
        <v>6</v>
      </c>
      <c r="C11" s="45" t="s">
        <v>28</v>
      </c>
      <c r="D11" s="46" t="s">
        <v>29</v>
      </c>
      <c r="E11" s="46" t="s">
        <v>61</v>
      </c>
      <c r="F11" s="45" t="s">
        <v>62</v>
      </c>
      <c r="G11" s="162" t="s">
        <v>237</v>
      </c>
      <c r="H11" s="163" t="s">
        <v>256</v>
      </c>
      <c r="I11" s="49">
        <v>4</v>
      </c>
      <c r="J11" s="39" t="str">
        <f t="shared" si="24"/>
        <v>PROBABLE</v>
      </c>
      <c r="K11" s="47">
        <v>5</v>
      </c>
      <c r="L11" s="39" t="str">
        <f t="shared" si="25"/>
        <v>CATASTRÓFICO</v>
      </c>
      <c r="M11" s="48">
        <f t="shared" si="26"/>
        <v>9</v>
      </c>
      <c r="N11" s="53" t="str">
        <f t="shared" si="27"/>
        <v>EXTREMO</v>
      </c>
      <c r="O11" s="44"/>
      <c r="P11" s="44">
        <v>1</v>
      </c>
      <c r="Q11" s="167" t="s">
        <v>257</v>
      </c>
      <c r="R11" s="55">
        <v>3</v>
      </c>
      <c r="S11" s="39" t="str">
        <f t="shared" si="28"/>
        <v>POSIBLE</v>
      </c>
      <c r="T11" s="47">
        <v>5</v>
      </c>
      <c r="U11" s="39" t="str">
        <f t="shared" si="29"/>
        <v>CATASTRÓFICO</v>
      </c>
      <c r="V11" s="48">
        <f t="shared" ref="V11" si="32">SUM(R11:S11)+SUM(T11:U11)</f>
        <v>8</v>
      </c>
      <c r="W11" s="42" t="str">
        <f t="shared" si="31"/>
        <v>EXTREMO</v>
      </c>
      <c r="X11" s="43" t="s">
        <v>33</v>
      </c>
      <c r="Y11" s="43" t="s">
        <v>63</v>
      </c>
      <c r="Z11" s="51" t="s">
        <v>64</v>
      </c>
      <c r="AA11" s="51" t="s">
        <v>65</v>
      </c>
      <c r="AB11" s="56" t="s">
        <v>66</v>
      </c>
      <c r="AC11" s="86" t="s">
        <v>38</v>
      </c>
    </row>
    <row r="12" spans="2:29" s="36" customFormat="1" ht="135.75" customHeight="1" x14ac:dyDescent="0.2">
      <c r="B12" s="107">
        <v>7</v>
      </c>
      <c r="C12" s="45" t="s">
        <v>28</v>
      </c>
      <c r="D12" s="46" t="s">
        <v>29</v>
      </c>
      <c r="E12" s="46" t="s">
        <v>61</v>
      </c>
      <c r="F12" s="45" t="s">
        <v>30</v>
      </c>
      <c r="G12" s="163" t="s">
        <v>245</v>
      </c>
      <c r="H12" s="163" t="s">
        <v>246</v>
      </c>
      <c r="I12" s="41">
        <v>2</v>
      </c>
      <c r="J12" s="39" t="str">
        <f>IF(I12=0,"",IF(I12=5,"CASI CIERTO",IF(I12=4,"PROBABLE",IF(I12=3,"POSIBLE",IF(I12=2,"IMPROBABLE","RARO")))))</f>
        <v>IMPROBABLE</v>
      </c>
      <c r="K12" s="40">
        <v>4</v>
      </c>
      <c r="L12" s="39" t="str">
        <f>IF(K12=0,"",IF(K12=5,"CATASTRÓFICO",IF(K12=4,"MAYOR",IF(K12=3,"MODERADO",IF(K12=2,"MENOR","INSIGNIFICANTE")))))</f>
        <v>MAYOR</v>
      </c>
      <c r="M12" s="48">
        <f>+I12+K12</f>
        <v>6</v>
      </c>
      <c r="N12" s="42" t="str">
        <f>IF(M12=0,"",IF(M12&gt;7.9,"EXTREMO",IF(M12&gt;5.9,"ALTO",IF(M12&gt;4.9,"MEDIO",IF(M12&gt;2.9,"BAJO","MUY BAJO")))))</f>
        <v>ALTO</v>
      </c>
      <c r="O12" s="43"/>
      <c r="P12" s="44">
        <v>1</v>
      </c>
      <c r="Q12" s="167" t="s">
        <v>247</v>
      </c>
      <c r="R12" s="41">
        <v>1</v>
      </c>
      <c r="S12" s="39" t="str">
        <f>IF(R12=0,"",IF(R12=5,"CASI CIERTO",IF(R12=4,"PROBABLE",IF(R12=3,"POSIBLE",IF(R12=2,"IMPROBABLE","RARO")))))</f>
        <v>RARO</v>
      </c>
      <c r="T12" s="41">
        <v>4</v>
      </c>
      <c r="U12" s="39" t="str">
        <f>IF(T12=0,"",IF(T12=5,"CATASTRÓFICO",IF(T12=4,"MAYOR",IF(T12=3,"MODERADO",IF(T12=2,"MENOR","INSIGNIFICANTE")))))</f>
        <v>MAYOR</v>
      </c>
      <c r="V12" s="48">
        <f>+T12+R12</f>
        <v>5</v>
      </c>
      <c r="W12" s="42" t="str">
        <f>IF(V12=0,"",IF(V12&gt;7.9,"EXTREMO",IF(V12&gt;5.9,"ALTO",IF(V12&gt;4.9,"MEDIO",IF(V12&gt;2.9,"BAJO","MUY BAJO")))))</f>
        <v>MEDIO</v>
      </c>
      <c r="X12" s="50" t="s">
        <v>33</v>
      </c>
      <c r="Y12" s="50" t="s">
        <v>51</v>
      </c>
      <c r="Z12" s="50" t="s">
        <v>67</v>
      </c>
      <c r="AA12" s="50" t="s">
        <v>53</v>
      </c>
      <c r="AB12" s="56" t="s">
        <v>68</v>
      </c>
      <c r="AC12" s="85" t="s">
        <v>69</v>
      </c>
    </row>
    <row r="13" spans="2:29" s="37" customFormat="1" ht="117" customHeight="1" x14ac:dyDescent="0.2">
      <c r="B13" s="109">
        <v>8</v>
      </c>
      <c r="C13" s="45" t="s">
        <v>28</v>
      </c>
      <c r="D13" s="46" t="s">
        <v>48</v>
      </c>
      <c r="E13" s="46" t="s">
        <v>61</v>
      </c>
      <c r="F13" s="45" t="s">
        <v>70</v>
      </c>
      <c r="G13" s="163" t="s">
        <v>71</v>
      </c>
      <c r="H13" s="163" t="s">
        <v>244</v>
      </c>
      <c r="I13" s="57">
        <v>3</v>
      </c>
      <c r="J13" s="39" t="str">
        <f t="shared" ref="J13:J14" si="33">IF(I13=0,"",IF(I13=5,"CASI CIERTO",IF(I13=4,"PROBABLE",IF(I13=3,"POSIBLE",IF(I13=2,"IMPROBABLE","RARO")))))</f>
        <v>POSIBLE</v>
      </c>
      <c r="K13" s="50">
        <v>4</v>
      </c>
      <c r="L13" s="39" t="str">
        <f t="shared" ref="L13:L14" si="34">IF(K13=0,"",IF(K13=5,"CATASTRÓFICO",IF(K13=4,"MAYOR",IF(K13=3,"MODERADO",IF(K13=2,"MENOR","INSIGNIFICANTE")))))</f>
        <v>MAYOR</v>
      </c>
      <c r="M13" s="48">
        <f t="shared" ref="M13:M14" si="35">+K13+I13</f>
        <v>7</v>
      </c>
      <c r="N13" s="39" t="str">
        <f t="shared" ref="N13:N14" si="36">IF(M13=0,"",IF(M13&gt;7.9,"EXTREMO",IF(M13&gt;5.9,"ALTO",IF(M13&gt;4.9,"MEDIO",IF(M13&gt;2.9,"BAJO","MUY BAJO")))))</f>
        <v>ALTO</v>
      </c>
      <c r="O13" s="58">
        <v>0.5</v>
      </c>
      <c r="P13" s="58">
        <v>0.5</v>
      </c>
      <c r="Q13" s="167" t="s">
        <v>72</v>
      </c>
      <c r="R13" s="57">
        <v>2</v>
      </c>
      <c r="S13" s="39" t="str">
        <f t="shared" ref="S13:S14" si="37">IF(R13=0,"",IF(R13=5,"CASI CIERTO",IF(R13=4,"PROBABLE",IF(R13=3,"POSIBLE",IF(R13=2,"IMPROBABLE","RARO")))))</f>
        <v>IMPROBABLE</v>
      </c>
      <c r="T13" s="57">
        <v>4</v>
      </c>
      <c r="U13" s="39" t="str">
        <f t="shared" ref="U13:U14" si="38">IF(T13=0,"",IF(T13=5,"CATASTRÓFICO",IF(T13=4,"MAYOR",IF(T13=3,"MODERADO",IF(T13=2,"MENOR","INSIGNIFICANTE")))))</f>
        <v>MAYOR</v>
      </c>
      <c r="V13" s="48">
        <f t="shared" ref="V13" si="39">SUM(R13:S13)+SUM(T13:U13)</f>
        <v>6</v>
      </c>
      <c r="W13" s="53" t="str">
        <f t="shared" ref="W13:W14" si="40">IF(V13=0,"",IF(V13&gt;7.9,"EXTREMO",IF(V13&gt;5.9,"ALTO",IF(V13&gt;4.9,"MEDIO",IF(V13&gt;2.9,"BAJO","MUY BAJO")))))</f>
        <v>ALTO</v>
      </c>
      <c r="X13" s="50" t="s">
        <v>33</v>
      </c>
      <c r="Y13" s="50" t="s">
        <v>51</v>
      </c>
      <c r="Z13" s="51" t="s">
        <v>73</v>
      </c>
      <c r="AA13" s="51" t="s">
        <v>53</v>
      </c>
      <c r="AB13" s="51" t="s">
        <v>74</v>
      </c>
      <c r="AC13" s="87" t="s">
        <v>75</v>
      </c>
    </row>
    <row r="14" spans="2:29" s="32" customFormat="1" ht="117.75" customHeight="1" x14ac:dyDescent="0.2">
      <c r="B14" s="108">
        <v>9</v>
      </c>
      <c r="C14" s="45" t="s">
        <v>28</v>
      </c>
      <c r="D14" s="46" t="s">
        <v>29</v>
      </c>
      <c r="E14" s="46" t="s">
        <v>61</v>
      </c>
      <c r="F14" s="45" t="s">
        <v>70</v>
      </c>
      <c r="G14" s="163" t="s">
        <v>258</v>
      </c>
      <c r="H14" s="163" t="s">
        <v>259</v>
      </c>
      <c r="I14" s="41">
        <v>3</v>
      </c>
      <c r="J14" s="39" t="str">
        <f t="shared" si="33"/>
        <v>POSIBLE</v>
      </c>
      <c r="K14" s="47">
        <v>3</v>
      </c>
      <c r="L14" s="39" t="str">
        <f t="shared" si="34"/>
        <v>MODERADO</v>
      </c>
      <c r="M14" s="48">
        <f t="shared" si="35"/>
        <v>6</v>
      </c>
      <c r="N14" s="53" t="str">
        <f t="shared" si="36"/>
        <v>ALTO</v>
      </c>
      <c r="O14" s="44">
        <v>0.5</v>
      </c>
      <c r="P14" s="44">
        <v>0.5</v>
      </c>
      <c r="Q14" s="167" t="s">
        <v>72</v>
      </c>
      <c r="R14" s="41">
        <v>2</v>
      </c>
      <c r="S14" s="39" t="str">
        <f t="shared" si="37"/>
        <v>IMPROBABLE</v>
      </c>
      <c r="T14" s="41">
        <v>3</v>
      </c>
      <c r="U14" s="39" t="str">
        <f t="shared" si="38"/>
        <v>MODERADO</v>
      </c>
      <c r="V14" s="48">
        <f t="shared" ref="V14" si="41">SUM(R14:S14)+SUM(T14:U14)</f>
        <v>5</v>
      </c>
      <c r="W14" s="42" t="str">
        <f t="shared" si="40"/>
        <v>MEDIO</v>
      </c>
      <c r="X14" s="50" t="s">
        <v>33</v>
      </c>
      <c r="Y14" s="50" t="s">
        <v>51</v>
      </c>
      <c r="Z14" s="51" t="s">
        <v>73</v>
      </c>
      <c r="AA14" s="51" t="s">
        <v>53</v>
      </c>
      <c r="AB14" s="51" t="s">
        <v>74</v>
      </c>
      <c r="AC14" s="87" t="s">
        <v>75</v>
      </c>
    </row>
    <row r="15" spans="2:29" ht="105" x14ac:dyDescent="0.2">
      <c r="B15" s="110">
        <v>10</v>
      </c>
      <c r="C15" s="59" t="s">
        <v>47</v>
      </c>
      <c r="D15" s="60" t="s">
        <v>48</v>
      </c>
      <c r="E15" s="60" t="s">
        <v>49</v>
      </c>
      <c r="F15" s="59" t="s">
        <v>76</v>
      </c>
      <c r="G15" s="162" t="s">
        <v>238</v>
      </c>
      <c r="H15" s="162" t="s">
        <v>239</v>
      </c>
      <c r="I15" s="61">
        <v>4</v>
      </c>
      <c r="J15" s="62" t="s">
        <v>77</v>
      </c>
      <c r="K15" s="61">
        <v>5</v>
      </c>
      <c r="L15" s="62" t="s">
        <v>78</v>
      </c>
      <c r="M15" s="63">
        <f t="shared" ref="M15" si="42">I15+K15</f>
        <v>9</v>
      </c>
      <c r="N15" s="62" t="str">
        <f t="shared" ref="N15" si="43">IF(M15="","",IF(M15&lt;=4,"BAJO",IF(M15=5,"MEDIO",IF(M15&lt;=7,"ALTO","EXTREMO"))))</f>
        <v>EXTREMO</v>
      </c>
      <c r="O15" s="64">
        <v>1</v>
      </c>
      <c r="P15" s="65"/>
      <c r="Q15" s="168" t="s">
        <v>240</v>
      </c>
      <c r="R15" s="61">
        <v>3</v>
      </c>
      <c r="S15" s="62" t="s">
        <v>79</v>
      </c>
      <c r="T15" s="61">
        <v>4</v>
      </c>
      <c r="U15" s="62" t="s">
        <v>80</v>
      </c>
      <c r="V15" s="63">
        <f t="shared" ref="V15" si="44">R15+T15</f>
        <v>7</v>
      </c>
      <c r="W15" s="62" t="str">
        <f t="shared" ref="W15" si="45">IF(V15="","",IF(V15&lt;=4,"BAJO",IF(V15=5,"MEDIO",IF(V15&lt;=7,"ALTO","EXTREMO"))))</f>
        <v>ALTO</v>
      </c>
      <c r="X15" s="66" t="s">
        <v>33</v>
      </c>
      <c r="Y15" s="66" t="s">
        <v>34</v>
      </c>
      <c r="Z15" s="67" t="s">
        <v>35</v>
      </c>
      <c r="AA15" s="67" t="s">
        <v>36</v>
      </c>
      <c r="AB15" s="66" t="s">
        <v>81</v>
      </c>
      <c r="AC15" s="88" t="s">
        <v>75</v>
      </c>
    </row>
    <row r="16" spans="2:29" ht="246.5" customHeight="1" x14ac:dyDescent="0.2">
      <c r="B16" s="111">
        <v>11</v>
      </c>
      <c r="C16" s="68" t="s">
        <v>28</v>
      </c>
      <c r="D16" s="68" t="s">
        <v>48</v>
      </c>
      <c r="E16" s="68" t="s">
        <v>61</v>
      </c>
      <c r="F16" s="68" t="s">
        <v>85</v>
      </c>
      <c r="G16" s="162" t="s">
        <v>181</v>
      </c>
      <c r="H16" s="162" t="s">
        <v>182</v>
      </c>
      <c r="I16" s="41">
        <v>2</v>
      </c>
      <c r="J16" s="39" t="str">
        <f t="shared" ref="J16" si="46">IF(I16=0,"",IF(I16=5,"CASI CIERTO",IF(I16=4,"PROBABLE",IF(I16=3,"POSIBLE",IF(I16=2,"IMPROBABLE","RARO")))))</f>
        <v>IMPROBABLE</v>
      </c>
      <c r="K16" s="47">
        <v>3</v>
      </c>
      <c r="L16" s="39" t="str">
        <f t="shared" ref="L16" si="47">IF(K16=0,"",IF(K16=5,"CATASTRÓFICO",IF(K16=4,"MAYOR",IF(K16=3,"MODERADO",IF(K16=2,"MENOR","INSIGNIFICANTE")))))</f>
        <v>MODERADO</v>
      </c>
      <c r="M16" s="48">
        <f t="shared" ref="M16" si="48">SUM(I16:J16)+SUM(K16:L16)</f>
        <v>5</v>
      </c>
      <c r="N16" s="42" t="str">
        <f t="shared" ref="N16" si="49">IF(M16=0,"",IF(M16&gt;7.9,"EXTREMO",IF(M16&gt;5.9,"ALTO",IF(M16&gt;4.9,"MEDIO",IF(M16&gt;2.9,"BAJO","MUY BAJO")))))</f>
        <v>MEDIO</v>
      </c>
      <c r="O16" s="58">
        <v>0.5</v>
      </c>
      <c r="P16" s="58">
        <v>0.5</v>
      </c>
      <c r="Q16" s="169" t="s">
        <v>183</v>
      </c>
      <c r="R16" s="69">
        <v>2</v>
      </c>
      <c r="S16" s="70" t="s">
        <v>84</v>
      </c>
      <c r="T16" s="69">
        <v>3</v>
      </c>
      <c r="U16" s="70" t="s">
        <v>82</v>
      </c>
      <c r="V16" s="71">
        <f t="shared" ref="V16" si="50">R16+T16</f>
        <v>5</v>
      </c>
      <c r="W16" s="72" t="str">
        <f t="shared" ref="W16" si="51">IF(V16="","",IF(V16&lt;=4,"BAJO",IF(V16=5,"MEDIO",IF(V16&lt;=7,"ALTO","EXTREMO"))))</f>
        <v>MEDIO</v>
      </c>
      <c r="X16" s="73" t="s">
        <v>33</v>
      </c>
      <c r="Y16" s="74" t="s">
        <v>215</v>
      </c>
      <c r="Z16" s="51" t="s">
        <v>35</v>
      </c>
      <c r="AA16" s="51" t="s">
        <v>65</v>
      </c>
      <c r="AB16" s="75" t="s">
        <v>234</v>
      </c>
      <c r="AC16" s="89" t="s">
        <v>214</v>
      </c>
    </row>
    <row r="17" spans="2:29" ht="150" x14ac:dyDescent="0.2">
      <c r="B17" s="111">
        <v>12</v>
      </c>
      <c r="C17" s="79" t="s">
        <v>47</v>
      </c>
      <c r="D17" s="79" t="s">
        <v>29</v>
      </c>
      <c r="E17" s="79" t="s">
        <v>61</v>
      </c>
      <c r="F17" s="79" t="s">
        <v>85</v>
      </c>
      <c r="G17" s="162" t="s">
        <v>184</v>
      </c>
      <c r="H17" s="162" t="s">
        <v>185</v>
      </c>
      <c r="I17" s="76">
        <v>3</v>
      </c>
      <c r="J17" s="70" t="s">
        <v>79</v>
      </c>
      <c r="K17" s="69">
        <v>4</v>
      </c>
      <c r="L17" s="70" t="s">
        <v>80</v>
      </c>
      <c r="M17" s="71">
        <f t="shared" ref="M17" si="52">I17+K17</f>
        <v>7</v>
      </c>
      <c r="N17" s="72" t="str">
        <f t="shared" ref="N17" si="53">IF(M17="","",IF(M17&lt;=4,"BAJO",IF(M17=5,"MEDIO",IF(M17&lt;=7,"ALTO","EXTREMO"))))</f>
        <v>ALTO</v>
      </c>
      <c r="O17" s="80"/>
      <c r="P17" s="44">
        <v>1</v>
      </c>
      <c r="Q17" s="169" t="s">
        <v>186</v>
      </c>
      <c r="R17" s="41">
        <v>2</v>
      </c>
      <c r="S17" s="39" t="str">
        <f t="shared" ref="S17" si="54">IF(R17=0,"",IF(R17=5,"CASI CIERTO",IF(R17=4,"PROBABLE",IF(R17=3,"POSIBLE",IF(R17=2,"IMPROBABLE","RARO")))))</f>
        <v>IMPROBABLE</v>
      </c>
      <c r="T17" s="41">
        <v>3</v>
      </c>
      <c r="U17" s="39" t="str">
        <f t="shared" ref="U17" si="55">IF(T17=0,"",IF(T17=5,"CATASTRÓFICO",IF(T17=4,"MAYOR",IF(T17=3,"MODERADO",IF(T17=2,"MENOR","INSIGNIFICANTE")))))</f>
        <v>MODERADO</v>
      </c>
      <c r="V17" s="48">
        <f t="shared" ref="V17" si="56">SUM(R17:S17)+SUM(T17:U17)</f>
        <v>5</v>
      </c>
      <c r="W17" s="42" t="str">
        <f t="shared" ref="W17" si="57">IF(V17=0,"",IF(V17&gt;7.9,"EXTREMO",IF(V17&gt;5.9,"ALTO",IF(V17&gt;4.9,"MEDIO",IF(V17&gt;2.9,"BAJO","MUY BAJO")))))</f>
        <v>MEDIO</v>
      </c>
      <c r="X17" s="43" t="s">
        <v>33</v>
      </c>
      <c r="Y17" s="74" t="s">
        <v>215</v>
      </c>
      <c r="Z17" s="51" t="s">
        <v>64</v>
      </c>
      <c r="AA17" s="51" t="s">
        <v>65</v>
      </c>
      <c r="AB17" s="75" t="s">
        <v>232</v>
      </c>
      <c r="AC17" s="89" t="s">
        <v>233</v>
      </c>
    </row>
    <row r="18" spans="2:29" ht="195" x14ac:dyDescent="0.2">
      <c r="B18" s="111">
        <v>13</v>
      </c>
      <c r="C18" s="79" t="s">
        <v>47</v>
      </c>
      <c r="D18" s="79" t="s">
        <v>48</v>
      </c>
      <c r="E18" s="79" t="s">
        <v>61</v>
      </c>
      <c r="F18" s="79" t="s">
        <v>62</v>
      </c>
      <c r="G18" s="162" t="s">
        <v>187</v>
      </c>
      <c r="H18" s="162" t="s">
        <v>188</v>
      </c>
      <c r="I18" s="76">
        <v>3</v>
      </c>
      <c r="J18" s="70" t="str">
        <f>IF(I18=0,"",IF(I18=5,"CASI CIERTO",IF(I18=4,"PROBABLE",IF(I18=3,"POSIBLE",IF(I18=2,"IMPROBABLE","RARO")))))</f>
        <v>POSIBLE</v>
      </c>
      <c r="K18" s="69">
        <v>5</v>
      </c>
      <c r="L18" s="70" t="str">
        <f>IF(K18=0,"",IF(K18=5,"CATASTRÓFICO",IF(K18=4,"MAYOR",IF(K18=3,"MODERADO",IF(K18=2,"MENOR","INSIGNIFICANTE")))))</f>
        <v>CATASTRÓFICO</v>
      </c>
      <c r="M18" s="71">
        <f>I18+K18</f>
        <v>8</v>
      </c>
      <c r="N18" s="72" t="str">
        <f>IF(M18="","",IF(M18&lt;=4,"BAJO",IF(M18=5,"MEDIO",IF(M18&lt;=7,"ALTO","EXTREMO"))))</f>
        <v>EXTREMO</v>
      </c>
      <c r="O18" s="80"/>
      <c r="P18" s="44">
        <v>1</v>
      </c>
      <c r="Q18" s="169" t="s">
        <v>189</v>
      </c>
      <c r="R18" s="41">
        <v>2</v>
      </c>
      <c r="S18" s="39" t="str">
        <f>IF(R18=0,"",IF(R18=5,"CASI CIERTO",IF(R18=4,"PROBABLE",IF(R18=3,"POSIBLE",IF(R18=2,"IMPROBABLE","RARO")))))</f>
        <v>IMPROBABLE</v>
      </c>
      <c r="T18" s="41">
        <v>4</v>
      </c>
      <c r="U18" s="39" t="str">
        <f>IF(T18=0,"",IF(T18=5,"CATASTRÓFICO",IF(T18=4,"MAYOR",IF(T18=3,"MODERADO",IF(T18=2,"MENOR","INSIGNIFICANTE")))))</f>
        <v>MAYOR</v>
      </c>
      <c r="V18" s="48">
        <f>R18+T18</f>
        <v>6</v>
      </c>
      <c r="W18" s="42" t="str">
        <f>IF(V18=0,"",IF(V18&gt;7.9,"EXTREMO",IF(V18&gt;5.9,"ALTO",IF(V18&gt;4.9,"MEDIO",IF(V18&gt;2.9,"BAJO","MUY BAJO")))))</f>
        <v>ALTO</v>
      </c>
      <c r="X18" s="43" t="s">
        <v>33</v>
      </c>
      <c r="Y18" s="74" t="s">
        <v>215</v>
      </c>
      <c r="Z18" s="51" t="s">
        <v>64</v>
      </c>
      <c r="AA18" s="51" t="s">
        <v>65</v>
      </c>
      <c r="AB18" s="75" t="s">
        <v>230</v>
      </c>
      <c r="AC18" s="89" t="s">
        <v>231</v>
      </c>
    </row>
    <row r="19" spans="2:29" s="38" customFormat="1" ht="112" customHeight="1" x14ac:dyDescent="0.2">
      <c r="B19" s="112">
        <v>14</v>
      </c>
      <c r="C19" s="81" t="s">
        <v>28</v>
      </c>
      <c r="D19" s="81" t="s">
        <v>48</v>
      </c>
      <c r="E19" s="81" t="s">
        <v>61</v>
      </c>
      <c r="F19" s="81" t="s">
        <v>86</v>
      </c>
      <c r="G19" s="163" t="s">
        <v>190</v>
      </c>
      <c r="H19" s="163" t="s">
        <v>191</v>
      </c>
      <c r="I19" s="49">
        <v>2</v>
      </c>
      <c r="J19" s="39" t="str">
        <f t="shared" ref="J19" si="58">IF(I19=0,"",IF(I19=5,"CASI CIERTO",IF(I19=4,"PROBABLE",IF(I19=3,"POSIBLE",IF(I19=2,"IMPROBABLE","RARO")))))</f>
        <v>IMPROBABLE</v>
      </c>
      <c r="K19" s="47">
        <v>3</v>
      </c>
      <c r="L19" s="39" t="str">
        <f t="shared" ref="L19" si="59">IF(K19=0,"",IF(K19=5,"CATASTRÓFICO",IF(K19=4,"MAYOR",IF(K19=3,"MODERADO",IF(K19=2,"MENOR","INSIGNIFICANTE")))))</f>
        <v>MODERADO</v>
      </c>
      <c r="M19" s="77">
        <f t="shared" ref="M19" si="60">SUM(I19:J19)+SUM(K19:L19)</f>
        <v>5</v>
      </c>
      <c r="N19" s="53" t="str">
        <f t="shared" ref="N19" si="61">IF(M19=0,"",IF(M19&gt;7.9,"EXTREMO",IF(M19&gt;5.9,"ALTO",IF(M19&gt;4.9,"MEDIO",IF(M19&gt;2.9,"BAJO","MUY BAJO")))))</f>
        <v>MEDIO</v>
      </c>
      <c r="O19" s="82"/>
      <c r="P19" s="44">
        <v>1</v>
      </c>
      <c r="Q19" s="170" t="s">
        <v>192</v>
      </c>
      <c r="R19" s="49">
        <v>1</v>
      </c>
      <c r="S19" s="39" t="str">
        <f t="shared" ref="S19" si="62">IF(R19=0,"",IF(R19=5,"CASI CIERTO",IF(R19=4,"PROBABLE",IF(R19=3,"POSIBLE",IF(R19=2,"IMPROBABLE","RARO")))))</f>
        <v>RARO</v>
      </c>
      <c r="T19" s="49">
        <v>3</v>
      </c>
      <c r="U19" s="39" t="str">
        <f t="shared" ref="U19" si="63">IF(T19=0,"",IF(T19=5,"CATASTRÓFICO",IF(T19=4,"MAYOR",IF(T19=3,"MODERADO",IF(T19=2,"MENOR","INSIGNIFICANTE")))))</f>
        <v>MODERADO</v>
      </c>
      <c r="V19" s="77">
        <f t="shared" ref="V19" si="64">+T19+R19</f>
        <v>4</v>
      </c>
      <c r="W19" s="53" t="str">
        <f t="shared" ref="W19" si="65">IF(V19=0,"",IF(V19&gt;7.9,"EXTREMO",IF(V19&gt;5.9,"ALTO",IF(V19&gt;4.9,"MEDIO",IF(V19&gt;2.9,"BAJO","MUY BAJO")))))</f>
        <v>BAJO</v>
      </c>
      <c r="X19" s="50" t="s">
        <v>33</v>
      </c>
      <c r="Y19" s="74" t="s">
        <v>215</v>
      </c>
      <c r="Z19" s="51" t="s">
        <v>64</v>
      </c>
      <c r="AA19" s="51" t="s">
        <v>65</v>
      </c>
      <c r="AB19" s="75" t="s">
        <v>229</v>
      </c>
      <c r="AC19" s="89" t="s">
        <v>228</v>
      </c>
    </row>
    <row r="20" spans="2:29" ht="150" x14ac:dyDescent="0.2">
      <c r="B20" s="111">
        <v>15</v>
      </c>
      <c r="C20" s="79" t="s">
        <v>47</v>
      </c>
      <c r="D20" s="79" t="s">
        <v>48</v>
      </c>
      <c r="E20" s="79" t="s">
        <v>61</v>
      </c>
      <c r="F20" s="79" t="s">
        <v>62</v>
      </c>
      <c r="G20" s="162" t="s">
        <v>193</v>
      </c>
      <c r="H20" s="162" t="s">
        <v>194</v>
      </c>
      <c r="I20" s="76">
        <v>3</v>
      </c>
      <c r="J20" s="70" t="str">
        <f>IF(I20=0,"",IF(I20=5,"CASI CIERTO",IF(I20=4,"PROBABLE",IF(I20=3,"POSIBLE",IF(I20=2,"IMPROBABLE","RARO")))))</f>
        <v>POSIBLE</v>
      </c>
      <c r="K20" s="69">
        <v>4</v>
      </c>
      <c r="L20" s="70" t="str">
        <f>IF(K20=0,"",IF(K20=5,"CATASTRÓFICO",IF(K20=4,"MAYOR",IF(K20=3,"MODERADO",IF(K20=2,"MENOR","INSIGNIFICANTE")))))</f>
        <v>MAYOR</v>
      </c>
      <c r="M20" s="71">
        <f>I20+K20</f>
        <v>7</v>
      </c>
      <c r="N20" s="72" t="str">
        <f>IF(M20="","",IF(M20&lt;=4,"BAJO",IF(M20=5,"MEDIO",IF(M20&lt;=7,"ALTO","EXTREMO"))))</f>
        <v>ALTO</v>
      </c>
      <c r="O20" s="80"/>
      <c r="P20" s="44">
        <v>1</v>
      </c>
      <c r="Q20" s="169" t="s">
        <v>195</v>
      </c>
      <c r="R20" s="41">
        <v>2</v>
      </c>
      <c r="S20" s="39" t="str">
        <f t="shared" ref="S20:S26" si="66">IF(R20=0,"",IF(R20=5,"CASI CIERTO",IF(R20=4,"PROBABLE",IF(R20=3,"POSIBLE",IF(R20=2,"IMPROBABLE","RARO")))))</f>
        <v>IMPROBABLE</v>
      </c>
      <c r="T20" s="41">
        <v>3</v>
      </c>
      <c r="U20" s="39" t="str">
        <f t="shared" ref="U20:U26" si="67">IF(T20=0,"",IF(T20=5,"CATASTRÓFICO",IF(T20=4,"MAYOR",IF(T20=3,"MODERADO",IF(T20=2,"MENOR","INSIGNIFICANTE")))))</f>
        <v>MODERADO</v>
      </c>
      <c r="V20" s="48">
        <f t="shared" ref="V20:V26" si="68">R20+T20</f>
        <v>5</v>
      </c>
      <c r="W20" s="42" t="str">
        <f t="shared" ref="W20:W26" si="69">IF(V20=0,"",IF(V20&gt;7.9,"EXTREMO",IF(V20&gt;5.9,"ALTO",IF(V20&gt;4.9,"MEDIO",IF(V20&gt;2.9,"BAJO","MUY BAJO")))))</f>
        <v>MEDIO</v>
      </c>
      <c r="X20" s="43" t="s">
        <v>33</v>
      </c>
      <c r="Y20" s="74" t="s">
        <v>215</v>
      </c>
      <c r="Z20" s="51" t="s">
        <v>64</v>
      </c>
      <c r="AA20" s="51" t="s">
        <v>65</v>
      </c>
      <c r="AB20" s="75" t="s">
        <v>227</v>
      </c>
      <c r="AC20" s="89" t="s">
        <v>224</v>
      </c>
    </row>
    <row r="21" spans="2:29" ht="165" x14ac:dyDescent="0.2">
      <c r="B21" s="111">
        <v>16</v>
      </c>
      <c r="C21" s="79" t="s">
        <v>47</v>
      </c>
      <c r="D21" s="79" t="s">
        <v>48</v>
      </c>
      <c r="E21" s="79" t="s">
        <v>61</v>
      </c>
      <c r="F21" s="79" t="s">
        <v>62</v>
      </c>
      <c r="G21" s="162" t="s">
        <v>196</v>
      </c>
      <c r="H21" s="162" t="s">
        <v>197</v>
      </c>
      <c r="I21" s="76">
        <v>4</v>
      </c>
      <c r="J21" s="70" t="str">
        <f>IF(I21=0,"",IF(I21=5,"CASI CIERTO",IF(I21=4,"PROBABLE",IF(I21=3,"POSIBLE",IF(I21=2,"IMPROBABLE","RARO")))))</f>
        <v>PROBABLE</v>
      </c>
      <c r="K21" s="69">
        <v>5</v>
      </c>
      <c r="L21" s="70" t="str">
        <f>IF(K21=0,"",IF(K21=5,"CATASTRÓFICO",IF(K21=4,"MAYOR",IF(K21=3,"MODERADO",IF(K21=2,"MENOR","INSIGNIFICANTE")))))</f>
        <v>CATASTRÓFICO</v>
      </c>
      <c r="M21" s="71">
        <f>I21+K21</f>
        <v>9</v>
      </c>
      <c r="N21" s="72" t="str">
        <f>IF(M21="","",IF(M21&lt;=4,"BAJO",IF(M21=5,"MEDIO",IF(M21&lt;=7,"ALTO","EXTREMO"))))</f>
        <v>EXTREMO</v>
      </c>
      <c r="O21" s="83">
        <v>0.1</v>
      </c>
      <c r="P21" s="78">
        <v>0.9</v>
      </c>
      <c r="Q21" s="169" t="s">
        <v>198</v>
      </c>
      <c r="R21" s="41">
        <v>3</v>
      </c>
      <c r="S21" s="39" t="str">
        <f t="shared" si="66"/>
        <v>POSIBLE</v>
      </c>
      <c r="T21" s="41">
        <v>4</v>
      </c>
      <c r="U21" s="39" t="str">
        <f t="shared" si="67"/>
        <v>MAYOR</v>
      </c>
      <c r="V21" s="48">
        <f t="shared" si="68"/>
        <v>7</v>
      </c>
      <c r="W21" s="42" t="str">
        <f t="shared" si="69"/>
        <v>ALTO</v>
      </c>
      <c r="X21" s="43" t="s">
        <v>33</v>
      </c>
      <c r="Y21" s="74" t="s">
        <v>215</v>
      </c>
      <c r="Z21" s="51" t="s">
        <v>64</v>
      </c>
      <c r="AA21" s="51" t="s">
        <v>65</v>
      </c>
      <c r="AB21" s="75" t="s">
        <v>225</v>
      </c>
      <c r="AC21" s="89" t="s">
        <v>226</v>
      </c>
    </row>
    <row r="22" spans="2:29" ht="132" customHeight="1" x14ac:dyDescent="0.2">
      <c r="B22" s="111">
        <v>17</v>
      </c>
      <c r="C22" s="79" t="s">
        <v>47</v>
      </c>
      <c r="D22" s="79" t="s">
        <v>29</v>
      </c>
      <c r="E22" s="79" t="s">
        <v>61</v>
      </c>
      <c r="F22" s="79" t="s">
        <v>62</v>
      </c>
      <c r="G22" s="162" t="s">
        <v>199</v>
      </c>
      <c r="H22" s="162" t="s">
        <v>200</v>
      </c>
      <c r="I22" s="76">
        <v>3</v>
      </c>
      <c r="J22" s="70" t="str">
        <f>IF(I22=0,"",IF(I22=5,"CASI CIERTO",IF(I22=4,"PROBABLE",IF(I22=3,"POSIBLE",IF(I22=2,"IMPROBABLE","RARO")))))</f>
        <v>POSIBLE</v>
      </c>
      <c r="K22" s="69">
        <v>4</v>
      </c>
      <c r="L22" s="70" t="str">
        <f>IF(K22=0,"",IF(K22=5,"CATASTRÓFICO",IF(K22=4,"MAYOR",IF(K22=3,"MODERADO",IF(K22=2,"MENOR","INSIGNIFICANTE")))))</f>
        <v>MAYOR</v>
      </c>
      <c r="M22" s="71">
        <f>I22+K22</f>
        <v>7</v>
      </c>
      <c r="N22" s="72" t="str">
        <f>IF(M22="","",IF(M22&lt;=4,"BAJO",IF(M22=5,"MEDIO",IF(M22&lt;=7,"ALTO","EXTREMO"))))</f>
        <v>ALTO</v>
      </c>
      <c r="O22" s="78">
        <v>0.5</v>
      </c>
      <c r="P22" s="78">
        <v>0.5</v>
      </c>
      <c r="Q22" s="169" t="s">
        <v>201</v>
      </c>
      <c r="R22" s="41">
        <v>2</v>
      </c>
      <c r="S22" s="39" t="str">
        <f t="shared" si="66"/>
        <v>IMPROBABLE</v>
      </c>
      <c r="T22" s="41">
        <v>3</v>
      </c>
      <c r="U22" s="39" t="str">
        <f t="shared" si="67"/>
        <v>MODERADO</v>
      </c>
      <c r="V22" s="48">
        <f t="shared" si="68"/>
        <v>5</v>
      </c>
      <c r="W22" s="42" t="str">
        <f t="shared" si="69"/>
        <v>MEDIO</v>
      </c>
      <c r="X22" s="43" t="s">
        <v>33</v>
      </c>
      <c r="Y22" s="74" t="s">
        <v>215</v>
      </c>
      <c r="Z22" s="51" t="s">
        <v>64</v>
      </c>
      <c r="AA22" s="51" t="s">
        <v>65</v>
      </c>
      <c r="AB22" s="75" t="s">
        <v>223</v>
      </c>
      <c r="AC22" s="89" t="s">
        <v>224</v>
      </c>
    </row>
    <row r="23" spans="2:29" ht="89" customHeight="1" x14ac:dyDescent="0.2">
      <c r="B23" s="111">
        <v>18</v>
      </c>
      <c r="C23" s="79" t="s">
        <v>47</v>
      </c>
      <c r="D23" s="79" t="s">
        <v>48</v>
      </c>
      <c r="E23" s="79" t="s">
        <v>61</v>
      </c>
      <c r="F23" s="79" t="s">
        <v>62</v>
      </c>
      <c r="G23" s="162" t="s">
        <v>202</v>
      </c>
      <c r="H23" s="162" t="s">
        <v>203</v>
      </c>
      <c r="I23" s="76">
        <v>4</v>
      </c>
      <c r="J23" s="70" t="str">
        <f>IF(I23=0,"",IF(I23=5,"CASI CIERTO",IF(I23=4,"PROBABLE",IF(I23=3,"POSIBLE",IF(I23=2,"IMPROBABLE","RARO")))))</f>
        <v>PROBABLE</v>
      </c>
      <c r="K23" s="69">
        <v>4</v>
      </c>
      <c r="L23" s="70" t="str">
        <f>IF(K23=0,"",IF(K23=5,"CATASTRÓFICO",IF(K23=4,"MAYOR",IF(K23=3,"MODERADO",IF(K23=2,"MENOR","INSIGNIFICANTE")))))</f>
        <v>MAYOR</v>
      </c>
      <c r="M23" s="71">
        <f>I23+K23</f>
        <v>8</v>
      </c>
      <c r="N23" s="72" t="str">
        <f>IF(M23="","",IF(M23&lt;=4,"BAJO",IF(M23=5,"MEDIO",IF(M23&lt;=7,"ALTO","EXTREMO"))))</f>
        <v>EXTREMO</v>
      </c>
      <c r="O23" s="78">
        <v>0.3</v>
      </c>
      <c r="P23" s="78">
        <v>0.7</v>
      </c>
      <c r="Q23" s="169" t="s">
        <v>204</v>
      </c>
      <c r="R23" s="41">
        <v>2</v>
      </c>
      <c r="S23" s="39" t="str">
        <f t="shared" si="66"/>
        <v>IMPROBABLE</v>
      </c>
      <c r="T23" s="41">
        <v>3</v>
      </c>
      <c r="U23" s="39" t="str">
        <f t="shared" si="67"/>
        <v>MODERADO</v>
      </c>
      <c r="V23" s="48">
        <f t="shared" si="68"/>
        <v>5</v>
      </c>
      <c r="W23" s="42" t="str">
        <f t="shared" si="69"/>
        <v>MEDIO</v>
      </c>
      <c r="X23" s="43" t="s">
        <v>33</v>
      </c>
      <c r="Y23" s="74" t="s">
        <v>215</v>
      </c>
      <c r="Z23" s="51" t="s">
        <v>64</v>
      </c>
      <c r="AA23" s="51" t="s">
        <v>65</v>
      </c>
      <c r="AB23" s="75" t="s">
        <v>221</v>
      </c>
      <c r="AC23" s="89" t="s">
        <v>222</v>
      </c>
    </row>
    <row r="24" spans="2:29" ht="144" customHeight="1" x14ac:dyDescent="0.2">
      <c r="B24" s="111">
        <v>19</v>
      </c>
      <c r="C24" s="79" t="s">
        <v>28</v>
      </c>
      <c r="D24" s="79" t="s">
        <v>48</v>
      </c>
      <c r="E24" s="79" t="s">
        <v>61</v>
      </c>
      <c r="F24" s="79" t="s">
        <v>86</v>
      </c>
      <c r="G24" s="162" t="s">
        <v>205</v>
      </c>
      <c r="H24" s="162" t="s">
        <v>206</v>
      </c>
      <c r="I24" s="76">
        <v>2</v>
      </c>
      <c r="J24" s="70" t="str">
        <f t="shared" ref="J24" si="70">IF(I24=0,"",IF(I24=5,"CASI CIERTO",IF(I24=4,"PROBABLE",IF(I24=3,"POSIBLE",IF(I24=2,"IMPROBABLE","RARO")))))</f>
        <v>IMPROBABLE</v>
      </c>
      <c r="K24" s="69">
        <v>3</v>
      </c>
      <c r="L24" s="70" t="str">
        <f t="shared" ref="L24" si="71">IF(K24=0,"",IF(K24=5,"CATASTRÓFICO",IF(K24=4,"MAYOR",IF(K24=3,"MODERADO",IF(K24=2,"MENOR","INSIGNIFICANTE")))))</f>
        <v>MODERADO</v>
      </c>
      <c r="M24" s="71">
        <f t="shared" ref="M24" si="72">SUM(I24:J24)+SUM(K24:L24)</f>
        <v>5</v>
      </c>
      <c r="N24" s="72" t="str">
        <f t="shared" ref="N24" si="73">IF(M24=0,"",IF(M24&gt;7.9,"EXTREMO",IF(M24&gt;5.9,"ALTO",IF(M24&gt;4.9,"MEDIO",IF(M24&gt;2.9,"BAJO","MUY BAJO")))))</f>
        <v>MEDIO</v>
      </c>
      <c r="O24" s="78">
        <v>0.5</v>
      </c>
      <c r="P24" s="78">
        <v>0.5</v>
      </c>
      <c r="Q24" s="169" t="s">
        <v>207</v>
      </c>
      <c r="R24" s="41">
        <v>2</v>
      </c>
      <c r="S24" s="39" t="str">
        <f t="shared" si="66"/>
        <v>IMPROBABLE</v>
      </c>
      <c r="T24" s="41">
        <v>3</v>
      </c>
      <c r="U24" s="39" t="str">
        <f t="shared" si="67"/>
        <v>MODERADO</v>
      </c>
      <c r="V24" s="48">
        <f t="shared" si="68"/>
        <v>5</v>
      </c>
      <c r="W24" s="42" t="str">
        <f t="shared" si="69"/>
        <v>MEDIO</v>
      </c>
      <c r="X24" s="43" t="s">
        <v>33</v>
      </c>
      <c r="Y24" s="74" t="s">
        <v>215</v>
      </c>
      <c r="Z24" s="51" t="s">
        <v>64</v>
      </c>
      <c r="AA24" s="51" t="s">
        <v>65</v>
      </c>
      <c r="AB24" s="75" t="s">
        <v>219</v>
      </c>
      <c r="AC24" s="89" t="s">
        <v>220</v>
      </c>
    </row>
    <row r="25" spans="2:29" ht="210" x14ac:dyDescent="0.2">
      <c r="B25" s="111">
        <v>20</v>
      </c>
      <c r="C25" s="79" t="s">
        <v>47</v>
      </c>
      <c r="D25" s="79" t="s">
        <v>48</v>
      </c>
      <c r="E25" s="79" t="s">
        <v>61</v>
      </c>
      <c r="F25" s="79" t="s">
        <v>62</v>
      </c>
      <c r="G25" s="162" t="s">
        <v>208</v>
      </c>
      <c r="H25" s="162" t="s">
        <v>209</v>
      </c>
      <c r="I25" s="76">
        <v>3</v>
      </c>
      <c r="J25" s="70" t="str">
        <f>IF(I25=0,"",IF(I25=5,"CASI CIERTO",IF(I25=4,"PROBABLE",IF(I25=3,"POSIBLE",IF(I25=2,"IMPROBABLE","RARO")))))</f>
        <v>POSIBLE</v>
      </c>
      <c r="K25" s="69">
        <v>4</v>
      </c>
      <c r="L25" s="70" t="str">
        <f>IF(K25=0,"",IF(K25=5,"CATASTRÓFICO",IF(K25=4,"MAYOR",IF(K25=3,"MODERADO",IF(K25=2,"MENOR","INSIGNIFICANTE")))))</f>
        <v>MAYOR</v>
      </c>
      <c r="M25" s="71">
        <f>I25+K25</f>
        <v>7</v>
      </c>
      <c r="N25" s="72" t="str">
        <f>IF(M25="","",IF(M25&lt;=4,"BAJO",IF(M25=5,"MEDIO",IF(M25&lt;=7,"ALTO","EXTREMO"))))</f>
        <v>ALTO</v>
      </c>
      <c r="O25" s="80"/>
      <c r="P25" s="44">
        <v>1</v>
      </c>
      <c r="Q25" s="169" t="s">
        <v>210</v>
      </c>
      <c r="R25" s="41">
        <v>2</v>
      </c>
      <c r="S25" s="39" t="str">
        <f t="shared" si="66"/>
        <v>IMPROBABLE</v>
      </c>
      <c r="T25" s="41">
        <v>3</v>
      </c>
      <c r="U25" s="39" t="str">
        <f t="shared" si="67"/>
        <v>MODERADO</v>
      </c>
      <c r="V25" s="48">
        <f t="shared" si="68"/>
        <v>5</v>
      </c>
      <c r="W25" s="42" t="str">
        <f t="shared" si="69"/>
        <v>MEDIO</v>
      </c>
      <c r="X25" s="43" t="s">
        <v>33</v>
      </c>
      <c r="Y25" s="74" t="s">
        <v>215</v>
      </c>
      <c r="Z25" s="51" t="s">
        <v>64</v>
      </c>
      <c r="AA25" s="51" t="s">
        <v>65</v>
      </c>
      <c r="AB25" s="75" t="s">
        <v>218</v>
      </c>
      <c r="AC25" s="89" t="s">
        <v>87</v>
      </c>
    </row>
    <row r="26" spans="2:29" ht="151" thickBot="1" x14ac:dyDescent="0.25">
      <c r="B26" s="113">
        <v>21</v>
      </c>
      <c r="C26" s="90" t="s">
        <v>47</v>
      </c>
      <c r="D26" s="90" t="s">
        <v>29</v>
      </c>
      <c r="E26" s="90" t="s">
        <v>61</v>
      </c>
      <c r="F26" s="90" t="s">
        <v>62</v>
      </c>
      <c r="G26" s="164" t="s">
        <v>211</v>
      </c>
      <c r="H26" s="164" t="s">
        <v>212</v>
      </c>
      <c r="I26" s="91">
        <v>3</v>
      </c>
      <c r="J26" s="92" t="str">
        <f>IF(I26=0,"",IF(I26=5,"CASI CIERTO",IF(I26=4,"PROBABLE",IF(I26=3,"POSIBLE",IF(I26=2,"IMPROBABLE","RARO")))))</f>
        <v>POSIBLE</v>
      </c>
      <c r="K26" s="93">
        <v>3</v>
      </c>
      <c r="L26" s="92" t="str">
        <f>IF(K26=0,"",IF(K26=5,"CATASTRÓFICO",IF(K26=4,"MAYOR",IF(K26=3,"MODERADO",IF(K26=2,"MENOR","INSIGNIFICANTE")))))</f>
        <v>MODERADO</v>
      </c>
      <c r="M26" s="94">
        <f>I26+K26</f>
        <v>6</v>
      </c>
      <c r="N26" s="95" t="str">
        <f>IF(M26="","",IF(M26&lt;=4,"BAJO",IF(M26=5,"MEDIO",IF(M26&lt;=7,"ALTO","EXTREMO"))))</f>
        <v>ALTO</v>
      </c>
      <c r="O26" s="96">
        <v>1</v>
      </c>
      <c r="P26" s="97"/>
      <c r="Q26" s="171" t="s">
        <v>213</v>
      </c>
      <c r="R26" s="98">
        <v>2</v>
      </c>
      <c r="S26" s="99" t="str">
        <f t="shared" si="66"/>
        <v>IMPROBABLE</v>
      </c>
      <c r="T26" s="98">
        <v>3</v>
      </c>
      <c r="U26" s="99" t="str">
        <f t="shared" si="67"/>
        <v>MODERADO</v>
      </c>
      <c r="V26" s="100">
        <f t="shared" si="68"/>
        <v>5</v>
      </c>
      <c r="W26" s="101" t="str">
        <f t="shared" si="69"/>
        <v>MEDIO</v>
      </c>
      <c r="X26" s="102" t="s">
        <v>33</v>
      </c>
      <c r="Y26" s="103" t="s">
        <v>215</v>
      </c>
      <c r="Z26" s="104" t="s">
        <v>88</v>
      </c>
      <c r="AA26" s="104" t="s">
        <v>65</v>
      </c>
      <c r="AB26" s="105" t="s">
        <v>217</v>
      </c>
      <c r="AC26" s="106" t="s">
        <v>216</v>
      </c>
    </row>
  </sheetData>
  <mergeCells count="23">
    <mergeCell ref="Q4:Q5"/>
    <mergeCell ref="C4:C5"/>
    <mergeCell ref="D4:D5"/>
    <mergeCell ref="E4:E5"/>
    <mergeCell ref="G4:G5"/>
    <mergeCell ref="H4:H5"/>
    <mergeCell ref="I4:J4"/>
    <mergeCell ref="B4:B5"/>
    <mergeCell ref="B2:AC2"/>
    <mergeCell ref="B3:H3"/>
    <mergeCell ref="I3:N3"/>
    <mergeCell ref="O3:Q3"/>
    <mergeCell ref="R3:W3"/>
    <mergeCell ref="X3:AC3"/>
    <mergeCell ref="V4:W4"/>
    <mergeCell ref="X4:AA4"/>
    <mergeCell ref="AB4:AC4"/>
    <mergeCell ref="T4:U4"/>
    <mergeCell ref="R4:S4"/>
    <mergeCell ref="O4:P4"/>
    <mergeCell ref="K4:L4"/>
    <mergeCell ref="M4:N4"/>
    <mergeCell ref="F4:F5"/>
  </mergeCells>
  <conditionalFormatting sqref="I6">
    <cfRule type="top10" dxfId="433" priority="1052" rank="4"/>
    <cfRule type="cellIs" dxfId="432" priority="1053" operator="equal">
      <formula>5</formula>
    </cfRule>
  </conditionalFormatting>
  <conditionalFormatting sqref="I7">
    <cfRule type="top10" dxfId="431" priority="2338" rank="4"/>
    <cfRule type="cellIs" dxfId="430" priority="2339" operator="equal">
      <formula>5</formula>
    </cfRule>
  </conditionalFormatting>
  <conditionalFormatting sqref="I8">
    <cfRule type="cellIs" dxfId="429" priority="911" operator="equal">
      <formula>5</formula>
    </cfRule>
    <cfRule type="top10" dxfId="428" priority="910" rank="4"/>
  </conditionalFormatting>
  <conditionalFormatting sqref="I9">
    <cfRule type="top10" dxfId="427" priority="1320" rank="4"/>
    <cfRule type="cellIs" dxfId="426" priority="1321" operator="equal">
      <formula>5</formula>
    </cfRule>
  </conditionalFormatting>
  <conditionalFormatting sqref="I10">
    <cfRule type="cellIs" dxfId="425" priority="2489" operator="equal">
      <formula>5</formula>
    </cfRule>
    <cfRule type="top10" dxfId="424" priority="2488" rank="4"/>
  </conditionalFormatting>
  <conditionalFormatting sqref="I11">
    <cfRule type="cellIs" dxfId="423" priority="1291" operator="equal">
      <formula>5</formula>
    </cfRule>
    <cfRule type="top10" dxfId="422" priority="1290" rank="4"/>
  </conditionalFormatting>
  <conditionalFormatting sqref="I12">
    <cfRule type="top10" dxfId="421" priority="2040" rank="4"/>
    <cfRule type="cellIs" dxfId="420" priority="2041" operator="equal">
      <formula>5</formula>
    </cfRule>
  </conditionalFormatting>
  <conditionalFormatting sqref="I13">
    <cfRule type="top10" dxfId="419" priority="2613" rank="4"/>
    <cfRule type="cellIs" dxfId="418" priority="2614" operator="equal">
      <formula>5</formula>
    </cfRule>
  </conditionalFormatting>
  <conditionalFormatting sqref="I14">
    <cfRule type="top10" dxfId="417" priority="2240" rank="4"/>
    <cfRule type="cellIs" dxfId="416" priority="2241" operator="equal">
      <formula>5</formula>
    </cfRule>
  </conditionalFormatting>
  <conditionalFormatting sqref="I15 K15 R15:R16 T15:T16">
    <cfRule type="cellIs" dxfId="415" priority="673" operator="lessThan">
      <formula>5</formula>
    </cfRule>
  </conditionalFormatting>
  <conditionalFormatting sqref="I15">
    <cfRule type="top10" dxfId="414" priority="855" rank="4"/>
    <cfRule type="cellIs" dxfId="413" priority="856" operator="equal">
      <formula>5</formula>
    </cfRule>
  </conditionalFormatting>
  <conditionalFormatting sqref="I16">
    <cfRule type="cellIs" dxfId="412" priority="579" operator="lessThan">
      <formula>5</formula>
    </cfRule>
    <cfRule type="cellIs" dxfId="411" priority="625" operator="equal">
      <formula>5</formula>
    </cfRule>
    <cfRule type="top10" dxfId="410" priority="624" rank="4"/>
  </conditionalFormatting>
  <conditionalFormatting sqref="I17">
    <cfRule type="cellIs" dxfId="409" priority="537" operator="equal">
      <formula>5</formula>
    </cfRule>
    <cfRule type="top10" dxfId="408" priority="536" rank="4"/>
  </conditionalFormatting>
  <conditionalFormatting sqref="I17:I18 K17:K18">
    <cfRule type="cellIs" dxfId="407" priority="391" operator="lessThan">
      <formula>5</formula>
    </cfRule>
  </conditionalFormatting>
  <conditionalFormatting sqref="I18">
    <cfRule type="top10" dxfId="406" priority="393" rank="4"/>
    <cfRule type="cellIs" dxfId="405" priority="394" operator="equal">
      <formula>5</formula>
    </cfRule>
  </conditionalFormatting>
  <conditionalFormatting sqref="I19">
    <cfRule type="cellIs" dxfId="404" priority="290" operator="equal">
      <formula>5</formula>
    </cfRule>
    <cfRule type="cellIs" dxfId="403" priority="244" operator="lessThan">
      <formula>5</formula>
    </cfRule>
    <cfRule type="top10" dxfId="402" priority="289" rank="4"/>
  </conditionalFormatting>
  <conditionalFormatting sqref="I20:I26 K20:K26">
    <cfRule type="cellIs" dxfId="401" priority="199" operator="lessThan">
      <formula>5</formula>
    </cfRule>
  </conditionalFormatting>
  <conditionalFormatting sqref="I20:I26">
    <cfRule type="top10" dxfId="400" priority="201" rank="4"/>
    <cfRule type="cellIs" dxfId="399" priority="202" operator="equal">
      <formula>5</formula>
    </cfRule>
  </conditionalFormatting>
  <conditionalFormatting sqref="J6">
    <cfRule type="colorScale" priority="1035">
      <colorScale>
        <cfvo type="percent" val="0"/>
        <cfvo type="percentile" val="50"/>
        <cfvo type="max"/>
        <color rgb="FFF8696B"/>
        <color rgb="FFFFEB84"/>
        <color rgb="FF63BE7B"/>
      </colorScale>
    </cfRule>
    <cfRule type="colorScale" priority="1029">
      <colorScale>
        <cfvo type="min"/>
        <cfvo type="max"/>
        <color rgb="FFFF7128"/>
        <color rgb="FFFFEF9C"/>
      </colorScale>
    </cfRule>
    <cfRule type="colorScale" priority="1030">
      <colorScale>
        <cfvo type="min"/>
        <cfvo type="percentile" val="50"/>
        <cfvo type="max"/>
        <color rgb="FFF8696B"/>
        <color rgb="FFFFEB84"/>
        <color rgb="FF63BE7B"/>
      </colorScale>
    </cfRule>
    <cfRule type="top10" dxfId="398" priority="1031" percent="1" rank="50"/>
    <cfRule type="dataBar" priority="1032">
      <dataBar>
        <cfvo type="percent" val="0.5"/>
        <cfvo type="max"/>
        <color rgb="FF638EC6"/>
      </dataBar>
      <extLst>
        <ext xmlns:x14="http://schemas.microsoft.com/office/spreadsheetml/2009/9/main" uri="{B025F937-C7B1-47D3-B67F-A62EFF666E3E}">
          <x14:id>{9984220C-C2C4-40A5-A189-882BC07022B3}</x14:id>
        </ext>
      </extLst>
    </cfRule>
    <cfRule type="colorScale" priority="1033">
      <colorScale>
        <cfvo type="min"/>
        <cfvo type="max"/>
        <color rgb="FFFF7128"/>
        <color rgb="FFFFEF9C"/>
      </colorScale>
    </cfRule>
    <cfRule type="top10" dxfId="397" priority="1034" rank="50"/>
    <cfRule type="colorScale" priority="1037">
      <colorScale>
        <cfvo type="percent" val="50"/>
        <cfvo type="max"/>
        <color rgb="FFFF7128"/>
        <color rgb="FFFFEF9C"/>
      </colorScale>
    </cfRule>
    <cfRule type="colorScale" priority="1024">
      <colorScale>
        <cfvo type="min"/>
        <cfvo type="percentile" val="50"/>
        <cfvo type="max"/>
        <color rgb="FF63BE7B"/>
        <color rgb="FFFFEB84"/>
        <color rgb="FFF8696B"/>
      </colorScale>
    </cfRule>
    <cfRule type="cellIs" dxfId="396" priority="1025" operator="equal">
      <formula>5</formula>
    </cfRule>
    <cfRule type="cellIs" dxfId="395" priority="1026" operator="greaterThan">
      <formula>0.5</formula>
    </cfRule>
    <cfRule type="iconSet" priority="1027">
      <iconSet iconSet="4Rating">
        <cfvo type="percent" val="0"/>
        <cfvo type="percent" val="25"/>
        <cfvo type="percent" val="50"/>
        <cfvo type="percent" val="75"/>
      </iconSet>
    </cfRule>
    <cfRule type="iconSet" priority="1028">
      <iconSet iconSet="3Arrows">
        <cfvo type="percent" val="0"/>
        <cfvo type="percent" val="33"/>
        <cfvo type="percent" val="67"/>
      </iconSet>
    </cfRule>
  </conditionalFormatting>
  <conditionalFormatting sqref="J6:J14 S17:S26 U17:U26 W17:W26">
    <cfRule type="cellIs" priority="992" operator="between">
      <formula>0.5</formula>
      <formula>1</formula>
    </cfRule>
  </conditionalFormatting>
  <conditionalFormatting sqref="J7">
    <cfRule type="colorScale" priority="2377">
      <colorScale>
        <cfvo type="percent" val="0"/>
        <cfvo type="percentile" val="50"/>
        <cfvo type="max"/>
        <color rgb="FFF8696B"/>
        <color rgb="FFFFEB84"/>
        <color rgb="FF63BE7B"/>
      </colorScale>
    </cfRule>
    <cfRule type="colorScale" priority="2379">
      <colorScale>
        <cfvo type="percent" val="50"/>
        <cfvo type="max"/>
        <color rgb="FFFF7128"/>
        <color rgb="FFFFEF9C"/>
      </colorScale>
    </cfRule>
    <cfRule type="cellIs" dxfId="394" priority="2367" operator="equal">
      <formula>5</formula>
    </cfRule>
    <cfRule type="cellIs" dxfId="393" priority="2368" operator="greaterThan">
      <formula>0.5</formula>
    </cfRule>
    <cfRule type="iconSet" priority="2369">
      <iconSet iconSet="4Rating">
        <cfvo type="percent" val="0"/>
        <cfvo type="percent" val="25"/>
        <cfvo type="percent" val="50"/>
        <cfvo type="percent" val="75"/>
      </iconSet>
    </cfRule>
    <cfRule type="iconSet" priority="2370">
      <iconSet iconSet="3Arrows">
        <cfvo type="percent" val="0"/>
        <cfvo type="percent" val="33"/>
        <cfvo type="percent" val="67"/>
      </iconSet>
    </cfRule>
    <cfRule type="colorScale" priority="2371">
      <colorScale>
        <cfvo type="min"/>
        <cfvo type="max"/>
        <color rgb="FFFF7128"/>
        <color rgb="FFFFEF9C"/>
      </colorScale>
    </cfRule>
    <cfRule type="colorScale" priority="2372">
      <colorScale>
        <cfvo type="min"/>
        <cfvo type="percentile" val="50"/>
        <cfvo type="max"/>
        <color rgb="FFF8696B"/>
        <color rgb="FFFFEB84"/>
        <color rgb="FF63BE7B"/>
      </colorScale>
    </cfRule>
    <cfRule type="top10" dxfId="392" priority="2373" percent="1" rank="50"/>
    <cfRule type="dataBar" priority="2374">
      <dataBar>
        <cfvo type="percent" val="0.5"/>
        <cfvo type="max"/>
        <color rgb="FF638EC6"/>
      </dataBar>
      <extLst>
        <ext xmlns:x14="http://schemas.microsoft.com/office/spreadsheetml/2009/9/main" uri="{B025F937-C7B1-47D3-B67F-A62EFF666E3E}">
          <x14:id>{F30ACB08-81DB-41B0-A850-91FDF9C5775B}</x14:id>
        </ext>
      </extLst>
    </cfRule>
    <cfRule type="colorScale" priority="2375">
      <colorScale>
        <cfvo type="min"/>
        <cfvo type="max"/>
        <color rgb="FFFF7128"/>
        <color rgb="FFFFEF9C"/>
      </colorScale>
    </cfRule>
    <cfRule type="top10" dxfId="391" priority="2376" rank="50"/>
    <cfRule type="colorScale" priority="2366">
      <colorScale>
        <cfvo type="min"/>
        <cfvo type="percentile" val="50"/>
        <cfvo type="max"/>
        <color rgb="FF63BE7B"/>
        <color rgb="FFFFEB84"/>
        <color rgb="FFF8696B"/>
      </colorScale>
    </cfRule>
  </conditionalFormatting>
  <conditionalFormatting sqref="J8">
    <cfRule type="colorScale" priority="989">
      <colorScale>
        <cfvo type="min"/>
        <cfvo type="max"/>
        <color rgb="FFFF7128"/>
        <color rgb="FFFFEF9C"/>
      </colorScale>
    </cfRule>
    <cfRule type="colorScale" priority="986">
      <colorScale>
        <cfvo type="min"/>
        <cfvo type="percentile" val="50"/>
        <cfvo type="max"/>
        <color rgb="FFF8696B"/>
        <color rgb="FFFFEB84"/>
        <color rgb="FF63BE7B"/>
      </colorScale>
    </cfRule>
    <cfRule type="cellIs" dxfId="390" priority="982" operator="greaterThan">
      <formula>0.5</formula>
    </cfRule>
    <cfRule type="cellIs" dxfId="389" priority="981" operator="equal">
      <formula>5</formula>
    </cfRule>
    <cfRule type="colorScale" priority="980">
      <colorScale>
        <cfvo type="min"/>
        <cfvo type="percentile" val="50"/>
        <cfvo type="max"/>
        <color rgb="FF63BE7B"/>
        <color rgb="FFFFEB84"/>
        <color rgb="FFF8696B"/>
      </colorScale>
    </cfRule>
    <cfRule type="colorScale" priority="993">
      <colorScale>
        <cfvo type="percent" val="50"/>
        <cfvo type="max"/>
        <color rgb="FFFF7128"/>
        <color rgb="FFFFEF9C"/>
      </colorScale>
    </cfRule>
    <cfRule type="colorScale" priority="991">
      <colorScale>
        <cfvo type="percent" val="0"/>
        <cfvo type="percentile" val="50"/>
        <cfvo type="max"/>
        <color rgb="FFF8696B"/>
        <color rgb="FFFFEB84"/>
        <color rgb="FF63BE7B"/>
      </colorScale>
    </cfRule>
    <cfRule type="top10" dxfId="388" priority="990" rank="50"/>
    <cfRule type="iconSet" priority="984">
      <iconSet iconSet="3Arrows">
        <cfvo type="percent" val="0"/>
        <cfvo type="percent" val="33"/>
        <cfvo type="percent" val="67"/>
      </iconSet>
    </cfRule>
    <cfRule type="colorScale" priority="985">
      <colorScale>
        <cfvo type="min"/>
        <cfvo type="max"/>
        <color rgb="FFFF7128"/>
        <color rgb="FFFFEF9C"/>
      </colorScale>
    </cfRule>
    <cfRule type="dataBar" priority="988">
      <dataBar>
        <cfvo type="percent" val="0.5"/>
        <cfvo type="max"/>
        <color rgb="FF638EC6"/>
      </dataBar>
      <extLst>
        <ext xmlns:x14="http://schemas.microsoft.com/office/spreadsheetml/2009/9/main" uri="{B025F937-C7B1-47D3-B67F-A62EFF666E3E}">
          <x14:id>{2B85552E-D7B3-42C5-AE22-C0194992AF88}</x14:id>
        </ext>
      </extLst>
    </cfRule>
    <cfRule type="top10" dxfId="387" priority="987" percent="1" rank="50"/>
    <cfRule type="iconSet" priority="983">
      <iconSet iconSet="4Rating">
        <cfvo type="percent" val="0"/>
        <cfvo type="percent" val="25"/>
        <cfvo type="percent" val="50"/>
        <cfvo type="percent" val="75"/>
      </iconSet>
    </cfRule>
  </conditionalFormatting>
  <conditionalFormatting sqref="J9">
    <cfRule type="colorScale" priority="1390">
      <colorScale>
        <cfvo type="min"/>
        <cfvo type="percentile" val="50"/>
        <cfvo type="max"/>
        <color rgb="FF63BE7B"/>
        <color rgb="FFFFEB84"/>
        <color rgb="FFF8696B"/>
      </colorScale>
    </cfRule>
    <cfRule type="cellIs" dxfId="386" priority="1391" operator="equal">
      <formula>5</formula>
    </cfRule>
    <cfRule type="colorScale" priority="1396">
      <colorScale>
        <cfvo type="min"/>
        <cfvo type="percentile" val="50"/>
        <cfvo type="max"/>
        <color rgb="FFF8696B"/>
        <color rgb="FFFFEB84"/>
        <color rgb="FF63BE7B"/>
      </colorScale>
    </cfRule>
    <cfRule type="top10" dxfId="385" priority="1397" percent="1" rank="50"/>
    <cfRule type="dataBar" priority="1398">
      <dataBar>
        <cfvo type="percent" val="0.5"/>
        <cfvo type="max"/>
        <color rgb="FF638EC6"/>
      </dataBar>
      <extLst>
        <ext xmlns:x14="http://schemas.microsoft.com/office/spreadsheetml/2009/9/main" uri="{B025F937-C7B1-47D3-B67F-A62EFF666E3E}">
          <x14:id>{7353000D-8868-427A-80C2-6979A24C0070}</x14:id>
        </ext>
      </extLst>
    </cfRule>
    <cfRule type="cellIs" dxfId="384" priority="1392" operator="greaterThan">
      <formula>0.5</formula>
    </cfRule>
    <cfRule type="colorScale" priority="1399">
      <colorScale>
        <cfvo type="min"/>
        <cfvo type="max"/>
        <color rgb="FFFF7128"/>
        <color rgb="FFFFEF9C"/>
      </colorScale>
    </cfRule>
    <cfRule type="top10" dxfId="383" priority="1400" rank="50"/>
    <cfRule type="colorScale" priority="1401">
      <colorScale>
        <cfvo type="percent" val="0"/>
        <cfvo type="percentile" val="50"/>
        <cfvo type="max"/>
        <color rgb="FFF8696B"/>
        <color rgb="FFFFEB84"/>
        <color rgb="FF63BE7B"/>
      </colorScale>
    </cfRule>
    <cfRule type="iconSet" priority="1393">
      <iconSet iconSet="4Rating">
        <cfvo type="percent" val="0"/>
        <cfvo type="percent" val="25"/>
        <cfvo type="percent" val="50"/>
        <cfvo type="percent" val="75"/>
      </iconSet>
    </cfRule>
    <cfRule type="iconSet" priority="1394">
      <iconSet iconSet="3Arrows">
        <cfvo type="percent" val="0"/>
        <cfvo type="percent" val="33"/>
        <cfvo type="percent" val="67"/>
      </iconSet>
    </cfRule>
    <cfRule type="colorScale" priority="1395">
      <colorScale>
        <cfvo type="min"/>
        <cfvo type="max"/>
        <color rgb="FFFF7128"/>
        <color rgb="FFFFEF9C"/>
      </colorScale>
    </cfRule>
    <cfRule type="colorScale" priority="1403">
      <colorScale>
        <cfvo type="percent" val="50"/>
        <cfvo type="max"/>
        <color rgb="FFFF7128"/>
        <color rgb="FFFFEF9C"/>
      </colorScale>
    </cfRule>
  </conditionalFormatting>
  <conditionalFormatting sqref="J10">
    <cfRule type="colorScale" priority="2469">
      <colorScale>
        <cfvo type="min"/>
        <cfvo type="max"/>
        <color rgb="FFFF7128"/>
        <color rgb="FFFFEF9C"/>
      </colorScale>
    </cfRule>
    <cfRule type="top10" dxfId="382" priority="2470" rank="50"/>
    <cfRule type="colorScale" priority="2460">
      <colorScale>
        <cfvo type="min"/>
        <cfvo type="percentile" val="50"/>
        <cfvo type="max"/>
        <color rgb="FF63BE7B"/>
        <color rgb="FFFFEB84"/>
        <color rgb="FFF8696B"/>
      </colorScale>
    </cfRule>
    <cfRule type="colorScale" priority="2473">
      <colorScale>
        <cfvo type="percent" val="50"/>
        <cfvo type="max"/>
        <color rgb="FFFF7128"/>
        <color rgb="FFFFEF9C"/>
      </colorScale>
    </cfRule>
    <cfRule type="colorScale" priority="2471">
      <colorScale>
        <cfvo type="percent" val="0"/>
        <cfvo type="percentile" val="50"/>
        <cfvo type="max"/>
        <color rgb="FFF8696B"/>
        <color rgb="FFFFEB84"/>
        <color rgb="FF63BE7B"/>
      </colorScale>
    </cfRule>
    <cfRule type="top10" dxfId="381" priority="2467" percent="1" rank="50"/>
    <cfRule type="colorScale" priority="2466">
      <colorScale>
        <cfvo type="min"/>
        <cfvo type="percentile" val="50"/>
        <cfvo type="max"/>
        <color rgb="FFF8696B"/>
        <color rgb="FFFFEB84"/>
        <color rgb="FF63BE7B"/>
      </colorScale>
    </cfRule>
    <cfRule type="colorScale" priority="2465">
      <colorScale>
        <cfvo type="min"/>
        <cfvo type="max"/>
        <color rgb="FFFF7128"/>
        <color rgb="FFFFEF9C"/>
      </colorScale>
    </cfRule>
    <cfRule type="iconSet" priority="2464">
      <iconSet iconSet="3Arrows">
        <cfvo type="percent" val="0"/>
        <cfvo type="percent" val="33"/>
        <cfvo type="percent" val="67"/>
      </iconSet>
    </cfRule>
    <cfRule type="cellIs" dxfId="380" priority="2461" operator="equal">
      <formula>5</formula>
    </cfRule>
    <cfRule type="cellIs" dxfId="379" priority="2462" operator="greaterThan">
      <formula>0.5</formula>
    </cfRule>
    <cfRule type="dataBar" priority="2468">
      <dataBar>
        <cfvo type="percent" val="0.5"/>
        <cfvo type="max"/>
        <color rgb="FF638EC6"/>
      </dataBar>
      <extLst>
        <ext xmlns:x14="http://schemas.microsoft.com/office/spreadsheetml/2009/9/main" uri="{B025F937-C7B1-47D3-B67F-A62EFF666E3E}">
          <x14:id>{2F75E10F-56BE-4CE3-8A70-4409A48F85C5}</x14:id>
        </ext>
      </extLst>
    </cfRule>
    <cfRule type="iconSet" priority="2463">
      <iconSet iconSet="4Rating">
        <cfvo type="percent" val="0"/>
        <cfvo type="percent" val="25"/>
        <cfvo type="percent" val="50"/>
        <cfvo type="percent" val="75"/>
      </iconSet>
    </cfRule>
  </conditionalFormatting>
  <conditionalFormatting sqref="J11">
    <cfRule type="cellIs" dxfId="378" priority="1276" operator="greaterThan">
      <formula>0.5</formula>
    </cfRule>
    <cfRule type="iconSet" priority="1278">
      <iconSet iconSet="3Arrows">
        <cfvo type="percent" val="0"/>
        <cfvo type="percent" val="33"/>
        <cfvo type="percent" val="67"/>
      </iconSet>
    </cfRule>
    <cfRule type="colorScale" priority="1279">
      <colorScale>
        <cfvo type="min"/>
        <cfvo type="max"/>
        <color rgb="FFFF7128"/>
        <color rgb="FFFFEF9C"/>
      </colorScale>
    </cfRule>
    <cfRule type="colorScale" priority="1280">
      <colorScale>
        <cfvo type="min"/>
        <cfvo type="percentile" val="50"/>
        <cfvo type="max"/>
        <color rgb="FFF8696B"/>
        <color rgb="FFFFEB84"/>
        <color rgb="FF63BE7B"/>
      </colorScale>
    </cfRule>
    <cfRule type="top10" dxfId="377" priority="1281" percent="1" rank="50"/>
    <cfRule type="dataBar" priority="1282">
      <dataBar>
        <cfvo type="percent" val="0.5"/>
        <cfvo type="max"/>
        <color rgb="FF638EC6"/>
      </dataBar>
      <extLst>
        <ext xmlns:x14="http://schemas.microsoft.com/office/spreadsheetml/2009/9/main" uri="{B025F937-C7B1-47D3-B67F-A62EFF666E3E}">
          <x14:id>{1A059E00-D89D-4D93-B9C8-2448DDB441C7}</x14:id>
        </ext>
      </extLst>
    </cfRule>
    <cfRule type="colorScale" priority="1283">
      <colorScale>
        <cfvo type="min"/>
        <cfvo type="max"/>
        <color rgb="FFFF7128"/>
        <color rgb="FFFFEF9C"/>
      </colorScale>
    </cfRule>
    <cfRule type="top10" dxfId="376" priority="1284" rank="50"/>
    <cfRule type="colorScale" priority="1285">
      <colorScale>
        <cfvo type="percent" val="0"/>
        <cfvo type="percentile" val="50"/>
        <cfvo type="max"/>
        <color rgb="FFF8696B"/>
        <color rgb="FFFFEB84"/>
        <color rgb="FF63BE7B"/>
      </colorScale>
    </cfRule>
    <cfRule type="colorScale" priority="1287">
      <colorScale>
        <cfvo type="percent" val="50"/>
        <cfvo type="max"/>
        <color rgb="FFFF7128"/>
        <color rgb="FFFFEF9C"/>
      </colorScale>
    </cfRule>
    <cfRule type="cellIs" dxfId="375" priority="1275" operator="equal">
      <formula>5</formula>
    </cfRule>
    <cfRule type="colorScale" priority="1274">
      <colorScale>
        <cfvo type="min"/>
        <cfvo type="percentile" val="50"/>
        <cfvo type="max"/>
        <color rgb="FF63BE7B"/>
        <color rgb="FFFFEB84"/>
        <color rgb="FFF8696B"/>
      </colorScale>
    </cfRule>
    <cfRule type="iconSet" priority="1277">
      <iconSet iconSet="4Rating">
        <cfvo type="percent" val="0"/>
        <cfvo type="percent" val="25"/>
        <cfvo type="percent" val="50"/>
        <cfvo type="percent" val="75"/>
      </iconSet>
    </cfRule>
  </conditionalFormatting>
  <conditionalFormatting sqref="J12">
    <cfRule type="colorScale" priority="2066">
      <colorScale>
        <cfvo type="percent" val="0"/>
        <cfvo type="percentile" val="50"/>
        <cfvo type="max"/>
        <color rgb="FFF8696B"/>
        <color rgb="FFFFEB84"/>
        <color rgb="FF63BE7B"/>
      </colorScale>
    </cfRule>
    <cfRule type="colorScale" priority="2068">
      <colorScale>
        <cfvo type="percent" val="50"/>
        <cfvo type="max"/>
        <color rgb="FFFF7128"/>
        <color rgb="FFFFEF9C"/>
      </colorScale>
    </cfRule>
    <cfRule type="top10" dxfId="374" priority="2065" rank="50"/>
    <cfRule type="colorScale" priority="2064">
      <colorScale>
        <cfvo type="min"/>
        <cfvo type="max"/>
        <color rgb="FFFF7128"/>
        <color rgb="FFFFEF9C"/>
      </colorScale>
    </cfRule>
    <cfRule type="dataBar" priority="2063">
      <dataBar>
        <cfvo type="percent" val="0.5"/>
        <cfvo type="max"/>
        <color rgb="FF638EC6"/>
      </dataBar>
      <extLst>
        <ext xmlns:x14="http://schemas.microsoft.com/office/spreadsheetml/2009/9/main" uri="{B025F937-C7B1-47D3-B67F-A62EFF666E3E}">
          <x14:id>{233C4315-272C-4A50-ABBB-F4DE6E880784}</x14:id>
        </ext>
      </extLst>
    </cfRule>
    <cfRule type="top10" dxfId="373" priority="2062" percent="1" rank="50"/>
    <cfRule type="colorScale" priority="2055">
      <colorScale>
        <cfvo type="min"/>
        <cfvo type="percentile" val="50"/>
        <cfvo type="max"/>
        <color rgb="FF63BE7B"/>
        <color rgb="FFFFEB84"/>
        <color rgb="FFF8696B"/>
      </colorScale>
    </cfRule>
    <cfRule type="colorScale" priority="2061">
      <colorScale>
        <cfvo type="min"/>
        <cfvo type="percentile" val="50"/>
        <cfvo type="max"/>
        <color rgb="FFF8696B"/>
        <color rgb="FFFFEB84"/>
        <color rgb="FF63BE7B"/>
      </colorScale>
    </cfRule>
    <cfRule type="cellIs" dxfId="372" priority="2056" operator="equal">
      <formula>5</formula>
    </cfRule>
    <cfRule type="cellIs" dxfId="371" priority="2057" operator="greaterThan">
      <formula>0.5</formula>
    </cfRule>
    <cfRule type="iconSet" priority="2058">
      <iconSet iconSet="4Rating">
        <cfvo type="percent" val="0"/>
        <cfvo type="percent" val="25"/>
        <cfvo type="percent" val="50"/>
        <cfvo type="percent" val="75"/>
      </iconSet>
    </cfRule>
    <cfRule type="iconSet" priority="2059">
      <iconSet iconSet="3Arrows">
        <cfvo type="percent" val="0"/>
        <cfvo type="percent" val="33"/>
        <cfvo type="percent" val="67"/>
      </iconSet>
    </cfRule>
    <cfRule type="colorScale" priority="2060">
      <colorScale>
        <cfvo type="min"/>
        <cfvo type="max"/>
        <color rgb="FFFF7128"/>
        <color rgb="FFFFEF9C"/>
      </colorScale>
    </cfRule>
  </conditionalFormatting>
  <conditionalFormatting sqref="J13">
    <cfRule type="colorScale" priority="2595">
      <colorScale>
        <cfvo type="min"/>
        <cfvo type="percentile" val="50"/>
        <cfvo type="max"/>
        <color rgb="FF63BE7B"/>
        <color rgb="FFFFEB84"/>
        <color rgb="FFF8696B"/>
      </colorScale>
    </cfRule>
    <cfRule type="colorScale" priority="2600">
      <colorScale>
        <cfvo type="min"/>
        <cfvo type="max"/>
        <color rgb="FFFF7128"/>
        <color rgb="FFFFEF9C"/>
      </colorScale>
    </cfRule>
    <cfRule type="cellIs" dxfId="370" priority="2596" operator="equal">
      <formula>5</formula>
    </cfRule>
    <cfRule type="top10" dxfId="369" priority="2605" rank="50"/>
    <cfRule type="cellIs" dxfId="368" priority="2597" operator="greaterThan">
      <formula>0.5</formula>
    </cfRule>
    <cfRule type="colorScale" priority="2606">
      <colorScale>
        <cfvo type="percent" val="0"/>
        <cfvo type="percentile" val="50"/>
        <cfvo type="max"/>
        <color rgb="FFF8696B"/>
        <color rgb="FFFFEB84"/>
        <color rgb="FF63BE7B"/>
      </colorScale>
    </cfRule>
    <cfRule type="iconSet" priority="2598">
      <iconSet iconSet="4Rating">
        <cfvo type="percent" val="0"/>
        <cfvo type="percent" val="25"/>
        <cfvo type="percent" val="50"/>
        <cfvo type="percent" val="75"/>
      </iconSet>
    </cfRule>
    <cfRule type="dataBar" priority="2603">
      <dataBar>
        <cfvo type="percent" val="0.5"/>
        <cfvo type="max"/>
        <color rgb="FF638EC6"/>
      </dataBar>
      <extLst>
        <ext xmlns:x14="http://schemas.microsoft.com/office/spreadsheetml/2009/9/main" uri="{B025F937-C7B1-47D3-B67F-A62EFF666E3E}">
          <x14:id>{BB983E57-3C22-4BFF-BAFF-ABAC3FF7BCBF}</x14:id>
        </ext>
      </extLst>
    </cfRule>
    <cfRule type="colorScale" priority="2604">
      <colorScale>
        <cfvo type="min"/>
        <cfvo type="max"/>
        <color rgb="FFFF7128"/>
        <color rgb="FFFFEF9C"/>
      </colorScale>
    </cfRule>
    <cfRule type="iconSet" priority="2599">
      <iconSet iconSet="3Arrows">
        <cfvo type="percent" val="0"/>
        <cfvo type="percent" val="33"/>
        <cfvo type="percent" val="67"/>
      </iconSet>
    </cfRule>
    <cfRule type="colorScale" priority="2601">
      <colorScale>
        <cfvo type="min"/>
        <cfvo type="percentile" val="50"/>
        <cfvo type="max"/>
        <color rgb="FFF8696B"/>
        <color rgb="FFFFEB84"/>
        <color rgb="FF63BE7B"/>
      </colorScale>
    </cfRule>
    <cfRule type="top10" dxfId="367" priority="2602" percent="1" rank="50"/>
    <cfRule type="colorScale" priority="2608">
      <colorScale>
        <cfvo type="percent" val="50"/>
        <cfvo type="max"/>
        <color rgb="FFFF7128"/>
        <color rgb="FFFFEF9C"/>
      </colorScale>
    </cfRule>
  </conditionalFormatting>
  <conditionalFormatting sqref="J14">
    <cfRule type="colorScale" priority="2319">
      <colorScale>
        <cfvo type="min"/>
        <cfvo type="max"/>
        <color rgb="FFFF7128"/>
        <color rgb="FFFFEF9C"/>
      </colorScale>
    </cfRule>
    <cfRule type="cellIs" dxfId="366" priority="2311" operator="equal">
      <formula>5</formula>
    </cfRule>
    <cfRule type="colorScale" priority="2316">
      <colorScale>
        <cfvo type="min"/>
        <cfvo type="percentile" val="50"/>
        <cfvo type="max"/>
        <color rgb="FFF8696B"/>
        <color rgb="FFFFEB84"/>
        <color rgb="FF63BE7B"/>
      </colorScale>
    </cfRule>
    <cfRule type="colorScale" priority="2310">
      <colorScale>
        <cfvo type="min"/>
        <cfvo type="percentile" val="50"/>
        <cfvo type="max"/>
        <color rgb="FF63BE7B"/>
        <color rgb="FFFFEB84"/>
        <color rgb="FFF8696B"/>
      </colorScale>
    </cfRule>
    <cfRule type="iconSet" priority="2314">
      <iconSet iconSet="3Arrows">
        <cfvo type="percent" val="0"/>
        <cfvo type="percent" val="33"/>
        <cfvo type="percent" val="67"/>
      </iconSet>
    </cfRule>
    <cfRule type="colorScale" priority="2323">
      <colorScale>
        <cfvo type="percent" val="50"/>
        <cfvo type="max"/>
        <color rgb="FFFF7128"/>
        <color rgb="FFFFEF9C"/>
      </colorScale>
    </cfRule>
    <cfRule type="top10" dxfId="365" priority="2317" percent="1" rank="50"/>
    <cfRule type="colorScale" priority="2315">
      <colorScale>
        <cfvo type="min"/>
        <cfvo type="max"/>
        <color rgb="FFFF7128"/>
        <color rgb="FFFFEF9C"/>
      </colorScale>
    </cfRule>
    <cfRule type="colorScale" priority="2321">
      <colorScale>
        <cfvo type="percent" val="0"/>
        <cfvo type="percentile" val="50"/>
        <cfvo type="max"/>
        <color rgb="FFF8696B"/>
        <color rgb="FFFFEB84"/>
        <color rgb="FF63BE7B"/>
      </colorScale>
    </cfRule>
    <cfRule type="iconSet" priority="2313">
      <iconSet iconSet="4Rating">
        <cfvo type="percent" val="0"/>
        <cfvo type="percent" val="25"/>
        <cfvo type="percent" val="50"/>
        <cfvo type="percent" val="75"/>
      </iconSet>
    </cfRule>
    <cfRule type="cellIs" dxfId="364" priority="2312" operator="greaterThan">
      <formula>0.5</formula>
    </cfRule>
    <cfRule type="top10" dxfId="363" priority="2320" rank="50"/>
    <cfRule type="dataBar" priority="2318">
      <dataBar>
        <cfvo type="percent" val="0.5"/>
        <cfvo type="max"/>
        <color rgb="FF638EC6"/>
      </dataBar>
      <extLst>
        <ext xmlns:x14="http://schemas.microsoft.com/office/spreadsheetml/2009/9/main" uri="{B025F937-C7B1-47D3-B67F-A62EFF666E3E}">
          <x14:id>{679B0162-62D6-4CBA-9ED9-E7DA3C664213}</x14:id>
        </ext>
      </extLst>
    </cfRule>
  </conditionalFormatting>
  <conditionalFormatting sqref="J15 L15 N15 S15:S16 U15:U16 W15:W16">
    <cfRule type="cellIs" dxfId="362" priority="674" operator="between">
      <formula>0.5</formula>
      <formula>1</formula>
    </cfRule>
  </conditionalFormatting>
  <conditionalFormatting sqref="J15">
    <cfRule type="cellIs" dxfId="361" priority="859" operator="greaterThan">
      <formula>0.5</formula>
    </cfRule>
    <cfRule type="colorScale" priority="863">
      <colorScale>
        <cfvo type="min"/>
        <cfvo type="percentile" val="50"/>
        <cfvo type="max"/>
        <color rgb="FFF8696B"/>
        <color rgb="FFFFEB84"/>
        <color rgb="FF63BE7B"/>
      </colorScale>
    </cfRule>
    <cfRule type="colorScale" priority="862">
      <colorScale>
        <cfvo type="min"/>
        <cfvo type="max"/>
        <color rgb="FFFF7128"/>
        <color rgb="FFFFEF9C"/>
      </colorScale>
    </cfRule>
    <cfRule type="cellIs" dxfId="360" priority="858" operator="equal">
      <formula>5</formula>
    </cfRule>
    <cfRule type="colorScale" priority="857">
      <colorScale>
        <cfvo type="min"/>
        <cfvo type="percentile" val="50"/>
        <cfvo type="max"/>
        <color rgb="FF63BE7B"/>
        <color rgb="FFFFEB84"/>
        <color rgb="FFF8696B"/>
      </colorScale>
    </cfRule>
    <cfRule type="colorScale" priority="869">
      <colorScale>
        <cfvo type="percent" val="50"/>
        <cfvo type="max"/>
        <color rgb="FFFF7128"/>
        <color rgb="FFFFEF9C"/>
      </colorScale>
    </cfRule>
    <cfRule type="iconSet" priority="860">
      <iconSet iconSet="4Rating">
        <cfvo type="percent" val="0"/>
        <cfvo type="percent" val="25"/>
        <cfvo type="percent" val="50"/>
        <cfvo type="percent" val="75"/>
      </iconSet>
    </cfRule>
    <cfRule type="iconSet" priority="861">
      <iconSet iconSet="3Arrows">
        <cfvo type="percent" val="0"/>
        <cfvo type="percent" val="33"/>
        <cfvo type="percent" val="67"/>
      </iconSet>
    </cfRule>
    <cfRule type="colorScale" priority="868">
      <colorScale>
        <cfvo type="percent" val="0"/>
        <cfvo type="percentile" val="50"/>
        <cfvo type="max"/>
        <color rgb="FFF8696B"/>
        <color rgb="FFFFEB84"/>
        <color rgb="FF63BE7B"/>
      </colorScale>
    </cfRule>
    <cfRule type="top10" dxfId="359" priority="867" rank="50"/>
    <cfRule type="top10" dxfId="358" priority="864" percent="1" rank="50"/>
    <cfRule type="dataBar" priority="865">
      <dataBar>
        <cfvo type="percent" val="0.5"/>
        <cfvo type="max"/>
        <color rgb="FF638EC6"/>
      </dataBar>
      <extLst>
        <ext xmlns:x14="http://schemas.microsoft.com/office/spreadsheetml/2009/9/main" uri="{B025F937-C7B1-47D3-B67F-A62EFF666E3E}">
          <x14:id>{347E06B9-1F58-49E9-950E-8FC9DD611CB3}</x14:id>
        </ext>
      </extLst>
    </cfRule>
    <cfRule type="colorScale" priority="866">
      <colorScale>
        <cfvo type="min"/>
        <cfvo type="max"/>
        <color rgb="FFFF7128"/>
        <color rgb="FFFFEF9C"/>
      </colorScale>
    </cfRule>
  </conditionalFormatting>
  <conditionalFormatting sqref="J16">
    <cfRule type="colorScale" priority="598">
      <colorScale>
        <cfvo type="min"/>
        <cfvo type="percentile" val="50"/>
        <cfvo type="max"/>
        <color rgb="FF63BE7B"/>
        <color rgb="FFFFEB84"/>
        <color rgb="FFF8696B"/>
      </colorScale>
    </cfRule>
    <cfRule type="iconSet" priority="602">
      <iconSet iconSet="3Arrows">
        <cfvo type="percent" val="0"/>
        <cfvo type="percent" val="33"/>
        <cfvo type="percent" val="67"/>
      </iconSet>
    </cfRule>
    <cfRule type="cellIs" priority="584" operator="between">
      <formula>0.5</formula>
      <formula>1</formula>
    </cfRule>
    <cfRule type="cellIs" dxfId="357" priority="599" operator="equal">
      <formula>5</formula>
    </cfRule>
    <cfRule type="cellIs" dxfId="356" priority="600" operator="greaterThan">
      <formula>0.5</formula>
    </cfRule>
    <cfRule type="iconSet" priority="601">
      <iconSet iconSet="4Rating">
        <cfvo type="percent" val="0"/>
        <cfvo type="percent" val="25"/>
        <cfvo type="percent" val="50"/>
        <cfvo type="percent" val="75"/>
      </iconSet>
    </cfRule>
    <cfRule type="colorScale" priority="610">
      <colorScale>
        <cfvo type="percent" val="50"/>
        <cfvo type="max"/>
        <color rgb="FFFF7128"/>
        <color rgb="FFFFEF9C"/>
      </colorScale>
    </cfRule>
    <cfRule type="colorScale" priority="609">
      <colorScale>
        <cfvo type="percent" val="0"/>
        <cfvo type="percentile" val="50"/>
        <cfvo type="max"/>
        <color rgb="FFF8696B"/>
        <color rgb="FFFFEB84"/>
        <color rgb="FF63BE7B"/>
      </colorScale>
    </cfRule>
    <cfRule type="top10" dxfId="355" priority="608" rank="50"/>
    <cfRule type="colorScale" priority="607">
      <colorScale>
        <cfvo type="min"/>
        <cfvo type="max"/>
        <color rgb="FFFF7128"/>
        <color rgb="FFFFEF9C"/>
      </colorScale>
    </cfRule>
    <cfRule type="dataBar" priority="606">
      <dataBar>
        <cfvo type="percent" val="0.5"/>
        <cfvo type="max"/>
        <color rgb="FF638EC6"/>
      </dataBar>
      <extLst>
        <ext xmlns:x14="http://schemas.microsoft.com/office/spreadsheetml/2009/9/main" uri="{B025F937-C7B1-47D3-B67F-A62EFF666E3E}">
          <x14:id>{87B2F08C-9A7B-4431-8451-49B039242D70}</x14:id>
        </ext>
      </extLst>
    </cfRule>
    <cfRule type="top10" dxfId="354" priority="605" percent="1" rank="50"/>
    <cfRule type="colorScale" priority="604">
      <colorScale>
        <cfvo type="min"/>
        <cfvo type="percentile" val="50"/>
        <cfvo type="max"/>
        <color rgb="FFF8696B"/>
        <color rgb="FFFFEB84"/>
        <color rgb="FF63BE7B"/>
      </colorScale>
    </cfRule>
    <cfRule type="colorScale" priority="603">
      <colorScale>
        <cfvo type="min"/>
        <cfvo type="max"/>
        <color rgb="FFFF7128"/>
        <color rgb="FFFFEF9C"/>
      </colorScale>
    </cfRule>
  </conditionalFormatting>
  <conditionalFormatting sqref="J17">
    <cfRule type="colorScale" priority="538">
      <colorScale>
        <cfvo type="min"/>
        <cfvo type="percentile" val="50"/>
        <cfvo type="max"/>
        <color rgb="FF63BE7B"/>
        <color rgb="FFFFEB84"/>
        <color rgb="FFF8696B"/>
      </colorScale>
    </cfRule>
    <cfRule type="iconSet" priority="542">
      <iconSet iconSet="3Arrows">
        <cfvo type="percent" val="0"/>
        <cfvo type="percent" val="33"/>
        <cfvo type="percent" val="67"/>
      </iconSet>
    </cfRule>
    <cfRule type="iconSet" priority="541">
      <iconSet iconSet="4Rating">
        <cfvo type="percent" val="0"/>
        <cfvo type="percent" val="25"/>
        <cfvo type="percent" val="50"/>
        <cfvo type="percent" val="75"/>
      </iconSet>
    </cfRule>
    <cfRule type="cellIs" dxfId="353" priority="540" operator="greaterThan">
      <formula>0.5</formula>
    </cfRule>
    <cfRule type="colorScale" priority="543">
      <colorScale>
        <cfvo type="min"/>
        <cfvo type="max"/>
        <color rgb="FFFF7128"/>
        <color rgb="FFFFEF9C"/>
      </colorScale>
    </cfRule>
    <cfRule type="colorScale" priority="544">
      <colorScale>
        <cfvo type="min"/>
        <cfvo type="percentile" val="50"/>
        <cfvo type="max"/>
        <color rgb="FFF8696B"/>
        <color rgb="FFFFEB84"/>
        <color rgb="FF63BE7B"/>
      </colorScale>
    </cfRule>
    <cfRule type="cellIs" dxfId="352" priority="539" operator="equal">
      <formula>5</formula>
    </cfRule>
    <cfRule type="colorScale" priority="550">
      <colorScale>
        <cfvo type="percent" val="50"/>
        <cfvo type="max"/>
        <color rgb="FFFF7128"/>
        <color rgb="FFFFEF9C"/>
      </colorScale>
    </cfRule>
    <cfRule type="colorScale" priority="549">
      <colorScale>
        <cfvo type="percent" val="0"/>
        <cfvo type="percentile" val="50"/>
        <cfvo type="max"/>
        <color rgb="FFF8696B"/>
        <color rgb="FFFFEB84"/>
        <color rgb="FF63BE7B"/>
      </colorScale>
    </cfRule>
    <cfRule type="top10" dxfId="351" priority="548" rank="50"/>
    <cfRule type="colorScale" priority="547">
      <colorScale>
        <cfvo type="min"/>
        <cfvo type="max"/>
        <color rgb="FFFF7128"/>
        <color rgb="FFFFEF9C"/>
      </colorScale>
    </cfRule>
    <cfRule type="dataBar" priority="546">
      <dataBar>
        <cfvo type="percent" val="0.5"/>
        <cfvo type="max"/>
        <color rgb="FF638EC6"/>
      </dataBar>
      <extLst>
        <ext xmlns:x14="http://schemas.microsoft.com/office/spreadsheetml/2009/9/main" uri="{B025F937-C7B1-47D3-B67F-A62EFF666E3E}">
          <x14:id>{F9BF0755-9CEC-4B5B-8867-97A8A9C190D7}</x14:id>
        </ext>
      </extLst>
    </cfRule>
    <cfRule type="top10" dxfId="350" priority="545" percent="1" rank="50"/>
  </conditionalFormatting>
  <conditionalFormatting sqref="J17:J18 L17:L18 N17:N18">
    <cfRule type="cellIs" dxfId="349" priority="392" operator="between">
      <formula>0.5</formula>
      <formula>1</formula>
    </cfRule>
  </conditionalFormatting>
  <conditionalFormatting sqref="J18">
    <cfRule type="iconSet" priority="399">
      <iconSet iconSet="3Arrows">
        <cfvo type="percent" val="0"/>
        <cfvo type="percent" val="33"/>
        <cfvo type="percent" val="67"/>
      </iconSet>
    </cfRule>
    <cfRule type="colorScale" priority="404">
      <colorScale>
        <cfvo type="min"/>
        <cfvo type="max"/>
        <color rgb="FFFF7128"/>
        <color rgb="FFFFEF9C"/>
      </colorScale>
    </cfRule>
    <cfRule type="top10" dxfId="348" priority="405" rank="50"/>
    <cfRule type="colorScale" priority="406">
      <colorScale>
        <cfvo type="percent" val="0"/>
        <cfvo type="percentile" val="50"/>
        <cfvo type="max"/>
        <color rgb="FFF8696B"/>
        <color rgb="FFFFEB84"/>
        <color rgb="FF63BE7B"/>
      </colorScale>
    </cfRule>
    <cfRule type="dataBar" priority="403">
      <dataBar>
        <cfvo type="percent" val="0.5"/>
        <cfvo type="max"/>
        <color rgb="FF638EC6"/>
      </dataBar>
      <extLst>
        <ext xmlns:x14="http://schemas.microsoft.com/office/spreadsheetml/2009/9/main" uri="{B025F937-C7B1-47D3-B67F-A62EFF666E3E}">
          <x14:id>{58BFFB8A-78AD-3449-889B-2AF30C210E60}</x14:id>
        </ext>
      </extLst>
    </cfRule>
    <cfRule type="colorScale" priority="400">
      <colorScale>
        <cfvo type="min"/>
        <cfvo type="max"/>
        <color rgb="FFFF7128"/>
        <color rgb="FFFFEF9C"/>
      </colorScale>
    </cfRule>
    <cfRule type="colorScale" priority="401">
      <colorScale>
        <cfvo type="min"/>
        <cfvo type="percentile" val="50"/>
        <cfvo type="max"/>
        <color rgb="FFF8696B"/>
        <color rgb="FFFFEB84"/>
        <color rgb="FF63BE7B"/>
      </colorScale>
    </cfRule>
    <cfRule type="iconSet" priority="398">
      <iconSet iconSet="4Rating">
        <cfvo type="percent" val="0"/>
        <cfvo type="percent" val="25"/>
        <cfvo type="percent" val="50"/>
        <cfvo type="percent" val="75"/>
      </iconSet>
    </cfRule>
    <cfRule type="cellIs" dxfId="347" priority="397" operator="greaterThan">
      <formula>0.5</formula>
    </cfRule>
    <cfRule type="cellIs" dxfId="346" priority="396" operator="equal">
      <formula>5</formula>
    </cfRule>
    <cfRule type="colorScale" priority="395">
      <colorScale>
        <cfvo type="min"/>
        <cfvo type="percentile" val="50"/>
        <cfvo type="max"/>
        <color rgb="FF63BE7B"/>
        <color rgb="FFFFEB84"/>
        <color rgb="FFF8696B"/>
      </colorScale>
    </cfRule>
    <cfRule type="colorScale" priority="407">
      <colorScale>
        <cfvo type="percent" val="50"/>
        <cfvo type="max"/>
        <color rgb="FFFF7128"/>
        <color rgb="FFFFEF9C"/>
      </colorScale>
    </cfRule>
    <cfRule type="top10" dxfId="345" priority="402" percent="1" rank="50"/>
  </conditionalFormatting>
  <conditionalFormatting sqref="J19">
    <cfRule type="iconSet" priority="266">
      <iconSet iconSet="4Rating">
        <cfvo type="percent" val="0"/>
        <cfvo type="percent" val="25"/>
        <cfvo type="percent" val="50"/>
        <cfvo type="percent" val="75"/>
      </iconSet>
    </cfRule>
    <cfRule type="iconSet" priority="267">
      <iconSet iconSet="3Arrows">
        <cfvo type="percent" val="0"/>
        <cfvo type="percent" val="33"/>
        <cfvo type="percent" val="67"/>
      </iconSet>
    </cfRule>
    <cfRule type="cellIs" dxfId="344" priority="265" operator="greaterThan">
      <formula>0.5</formula>
    </cfRule>
    <cfRule type="cellIs" dxfId="343" priority="264" operator="equal">
      <formula>5</formula>
    </cfRule>
    <cfRule type="colorScale" priority="263">
      <colorScale>
        <cfvo type="min"/>
        <cfvo type="percentile" val="50"/>
        <cfvo type="max"/>
        <color rgb="FF63BE7B"/>
        <color rgb="FFFFEB84"/>
        <color rgb="FFF8696B"/>
      </colorScale>
    </cfRule>
    <cfRule type="colorScale" priority="268">
      <colorScale>
        <cfvo type="min"/>
        <cfvo type="max"/>
        <color rgb="FFFF7128"/>
        <color rgb="FFFFEF9C"/>
      </colorScale>
    </cfRule>
    <cfRule type="colorScale" priority="269">
      <colorScale>
        <cfvo type="min"/>
        <cfvo type="percentile" val="50"/>
        <cfvo type="max"/>
        <color rgb="FFF8696B"/>
        <color rgb="FFFFEB84"/>
        <color rgb="FF63BE7B"/>
      </colorScale>
    </cfRule>
    <cfRule type="cellIs" priority="249" operator="between">
      <formula>0.5</formula>
      <formula>1</formula>
    </cfRule>
    <cfRule type="top10" dxfId="342" priority="270" percent="1" rank="50"/>
    <cfRule type="dataBar" priority="271">
      <dataBar>
        <cfvo type="percent" val="0.5"/>
        <cfvo type="max"/>
        <color rgb="FF638EC6"/>
      </dataBar>
      <extLst>
        <ext xmlns:x14="http://schemas.microsoft.com/office/spreadsheetml/2009/9/main" uri="{B025F937-C7B1-47D3-B67F-A62EFF666E3E}">
          <x14:id>{24738414-09E0-40C1-A89A-56295CBF0DE4}</x14:id>
        </ext>
      </extLst>
    </cfRule>
    <cfRule type="colorScale" priority="272">
      <colorScale>
        <cfvo type="min"/>
        <cfvo type="max"/>
        <color rgb="FFFF7128"/>
        <color rgb="FFFFEF9C"/>
      </colorScale>
    </cfRule>
    <cfRule type="top10" dxfId="341" priority="273" rank="50"/>
    <cfRule type="colorScale" priority="274">
      <colorScale>
        <cfvo type="percent" val="0"/>
        <cfvo type="percentile" val="50"/>
        <cfvo type="max"/>
        <color rgb="FFF8696B"/>
        <color rgb="FFFFEB84"/>
        <color rgb="FF63BE7B"/>
      </colorScale>
    </cfRule>
    <cfRule type="colorScale" priority="275">
      <colorScale>
        <cfvo type="percent" val="50"/>
        <cfvo type="max"/>
        <color rgb="FFFF7128"/>
        <color rgb="FFFFEF9C"/>
      </colorScale>
    </cfRule>
  </conditionalFormatting>
  <conditionalFormatting sqref="J20:J26 L20:L26 N20:N26">
    <cfRule type="cellIs" dxfId="340" priority="200" operator="between">
      <formula>0.5</formula>
      <formula>1</formula>
    </cfRule>
  </conditionalFormatting>
  <conditionalFormatting sqref="J20:J26">
    <cfRule type="cellIs" dxfId="339" priority="205" operator="greaterThan">
      <formula>0.5</formula>
    </cfRule>
    <cfRule type="iconSet" priority="206">
      <iconSet iconSet="4Rating">
        <cfvo type="percent" val="0"/>
        <cfvo type="percent" val="25"/>
        <cfvo type="percent" val="50"/>
        <cfvo type="percent" val="75"/>
      </iconSet>
    </cfRule>
    <cfRule type="iconSet" priority="207">
      <iconSet iconSet="3Arrows">
        <cfvo type="percent" val="0"/>
        <cfvo type="percent" val="33"/>
        <cfvo type="percent" val="67"/>
      </iconSet>
    </cfRule>
    <cfRule type="colorScale" priority="208">
      <colorScale>
        <cfvo type="min"/>
        <cfvo type="max"/>
        <color rgb="FFFF7128"/>
        <color rgb="FFFFEF9C"/>
      </colorScale>
    </cfRule>
    <cfRule type="colorScale" priority="209">
      <colorScale>
        <cfvo type="min"/>
        <cfvo type="percentile" val="50"/>
        <cfvo type="max"/>
        <color rgb="FFF8696B"/>
        <color rgb="FFFFEB84"/>
        <color rgb="FF63BE7B"/>
      </colorScale>
    </cfRule>
    <cfRule type="top10" dxfId="338" priority="210" percent="1" rank="50"/>
    <cfRule type="dataBar" priority="211">
      <dataBar>
        <cfvo type="percent" val="0.5"/>
        <cfvo type="max"/>
        <color rgb="FF638EC6"/>
      </dataBar>
      <extLst>
        <ext xmlns:x14="http://schemas.microsoft.com/office/spreadsheetml/2009/9/main" uri="{B025F937-C7B1-47D3-B67F-A62EFF666E3E}">
          <x14:id>{4CB9528B-B4BA-2D48-89A8-C0E4E490C01F}</x14:id>
        </ext>
      </extLst>
    </cfRule>
    <cfRule type="colorScale" priority="212">
      <colorScale>
        <cfvo type="min"/>
        <cfvo type="max"/>
        <color rgb="FFFF7128"/>
        <color rgb="FFFFEF9C"/>
      </colorScale>
    </cfRule>
    <cfRule type="top10" dxfId="337" priority="213" rank="50"/>
    <cfRule type="colorScale" priority="214">
      <colorScale>
        <cfvo type="percent" val="0"/>
        <cfvo type="percentile" val="50"/>
        <cfvo type="max"/>
        <color rgb="FFF8696B"/>
        <color rgb="FFFFEB84"/>
        <color rgb="FF63BE7B"/>
      </colorScale>
    </cfRule>
    <cfRule type="colorScale" priority="215">
      <colorScale>
        <cfvo type="percent" val="50"/>
        <cfvo type="max"/>
        <color rgb="FFFF7128"/>
        <color rgb="FFFFEF9C"/>
      </colorScale>
    </cfRule>
    <cfRule type="cellIs" dxfId="336" priority="204" operator="equal">
      <formula>5</formula>
    </cfRule>
    <cfRule type="colorScale" priority="203">
      <colorScale>
        <cfvo type="min"/>
        <cfvo type="percentile" val="50"/>
        <cfvo type="max"/>
        <color rgb="FF63BE7B"/>
        <color rgb="FFFFEB84"/>
        <color rgb="FFF8696B"/>
      </colorScale>
    </cfRule>
  </conditionalFormatting>
  <conditionalFormatting sqref="K6">
    <cfRule type="top10" dxfId="335" priority="1009" rank="4"/>
    <cfRule type="cellIs" dxfId="334" priority="1010" operator="equal">
      <formula>5</formula>
    </cfRule>
  </conditionalFormatting>
  <conditionalFormatting sqref="K6:K14">
    <cfRule type="cellIs" dxfId="333" priority="904" operator="lessThan">
      <formula>5</formula>
    </cfRule>
  </conditionalFormatting>
  <conditionalFormatting sqref="K7">
    <cfRule type="cellIs" dxfId="332" priority="2335" operator="equal">
      <formula>5</formula>
    </cfRule>
    <cfRule type="top10" dxfId="331" priority="2334" rank="4"/>
  </conditionalFormatting>
  <conditionalFormatting sqref="K8">
    <cfRule type="cellIs" dxfId="330" priority="907" operator="equal">
      <formula>5</formula>
    </cfRule>
    <cfRule type="top10" dxfId="329" priority="906" rank="4"/>
  </conditionalFormatting>
  <conditionalFormatting sqref="K9">
    <cfRule type="top10" dxfId="328" priority="1316" rank="4"/>
    <cfRule type="cellIs" dxfId="327" priority="1317" operator="equal">
      <formula>5</formula>
    </cfRule>
  </conditionalFormatting>
  <conditionalFormatting sqref="K10:K11">
    <cfRule type="cellIs" dxfId="326" priority="2616" operator="equal">
      <formula>5</formula>
    </cfRule>
    <cfRule type="top10" dxfId="325" priority="2615" rank="4"/>
  </conditionalFormatting>
  <conditionalFormatting sqref="K12">
    <cfRule type="top10" dxfId="324" priority="2038" rank="4"/>
    <cfRule type="cellIs" dxfId="323" priority="2039" operator="equal">
      <formula>5</formula>
    </cfRule>
  </conditionalFormatting>
  <conditionalFormatting sqref="K13">
    <cfRule type="top10" dxfId="322" priority="2611" rank="4"/>
    <cfRule type="cellIs" dxfId="321" priority="2612" operator="equal">
      <formula>5</formula>
    </cfRule>
  </conditionalFormatting>
  <conditionalFormatting sqref="K14">
    <cfRule type="top10" dxfId="320" priority="2236" rank="4"/>
    <cfRule type="cellIs" dxfId="319" priority="2237" operator="equal">
      <formula>5</formula>
    </cfRule>
  </conditionalFormatting>
  <conditionalFormatting sqref="K15">
    <cfRule type="top10" dxfId="318" priority="870" rank="4"/>
    <cfRule type="cellIs" dxfId="317" priority="871" operator="equal">
      <formula>5</formula>
    </cfRule>
  </conditionalFormatting>
  <conditionalFormatting sqref="K16">
    <cfRule type="cellIs" dxfId="316" priority="577" operator="lessThan">
      <formula>5</formula>
    </cfRule>
    <cfRule type="top10" dxfId="315" priority="596" rank="4"/>
    <cfRule type="cellIs" dxfId="314" priority="597" operator="equal">
      <formula>5</formula>
    </cfRule>
  </conditionalFormatting>
  <conditionalFormatting sqref="K17">
    <cfRule type="cellIs" dxfId="313" priority="552" operator="equal">
      <formula>5</formula>
    </cfRule>
    <cfRule type="top10" dxfId="312" priority="551" rank="4"/>
  </conditionalFormatting>
  <conditionalFormatting sqref="K18">
    <cfRule type="cellIs" dxfId="311" priority="409" operator="equal">
      <formula>5</formula>
    </cfRule>
    <cfRule type="top10" dxfId="310" priority="408" rank="4"/>
  </conditionalFormatting>
  <conditionalFormatting sqref="K19">
    <cfRule type="cellIs" dxfId="309" priority="242" operator="lessThan">
      <formula>5</formula>
    </cfRule>
    <cfRule type="top10" dxfId="308" priority="261" rank="4"/>
    <cfRule type="cellIs" dxfId="307" priority="262" operator="equal">
      <formula>5</formula>
    </cfRule>
  </conditionalFormatting>
  <conditionalFormatting sqref="K20:K26">
    <cfRule type="cellIs" dxfId="306" priority="217" operator="equal">
      <formula>5</formula>
    </cfRule>
    <cfRule type="top10" dxfId="305" priority="216" rank="4"/>
  </conditionalFormatting>
  <conditionalFormatting sqref="L6">
    <cfRule type="colorScale" priority="1043">
      <colorScale>
        <cfvo type="min"/>
        <cfvo type="max"/>
        <color rgb="FFFF7128"/>
        <color rgb="FFFFEF9C"/>
      </colorScale>
    </cfRule>
    <cfRule type="dataBar" priority="1046">
      <dataBar>
        <cfvo type="percent" val="0.5"/>
        <cfvo type="max"/>
        <color rgb="FF638EC6"/>
      </dataBar>
      <extLst>
        <ext xmlns:x14="http://schemas.microsoft.com/office/spreadsheetml/2009/9/main" uri="{B025F937-C7B1-47D3-B67F-A62EFF666E3E}">
          <x14:id>{C3C1891B-9D52-40A2-A5B9-143CAFEB765D}</x14:id>
        </ext>
      </extLst>
    </cfRule>
    <cfRule type="iconSet" priority="1042">
      <iconSet iconSet="3Arrows">
        <cfvo type="percent" val="0"/>
        <cfvo type="percent" val="33"/>
        <cfvo type="percent" val="67"/>
      </iconSet>
    </cfRule>
    <cfRule type="iconSet" priority="1041">
      <iconSet iconSet="4Rating">
        <cfvo type="percent" val="0"/>
        <cfvo type="percent" val="25"/>
        <cfvo type="percent" val="50"/>
        <cfvo type="percent" val="75"/>
      </iconSet>
    </cfRule>
    <cfRule type="cellIs" dxfId="304" priority="1040" operator="greaterThan">
      <formula>0.5</formula>
    </cfRule>
    <cfRule type="cellIs" dxfId="303" priority="1039" operator="equal">
      <formula>5</formula>
    </cfRule>
    <cfRule type="colorScale" priority="1038">
      <colorScale>
        <cfvo type="min"/>
        <cfvo type="percentile" val="50"/>
        <cfvo type="max"/>
        <color rgb="FF63BE7B"/>
        <color rgb="FFFFEB84"/>
        <color rgb="FFF8696B"/>
      </colorScale>
    </cfRule>
    <cfRule type="colorScale" priority="1044">
      <colorScale>
        <cfvo type="min"/>
        <cfvo type="percentile" val="50"/>
        <cfvo type="max"/>
        <color rgb="FFF8696B"/>
        <color rgb="FFFFEB84"/>
        <color rgb="FF63BE7B"/>
      </colorScale>
    </cfRule>
    <cfRule type="colorScale" priority="1047">
      <colorScale>
        <cfvo type="min"/>
        <cfvo type="max"/>
        <color rgb="FFFF7128"/>
        <color rgb="FFFFEF9C"/>
      </colorScale>
    </cfRule>
    <cfRule type="top10" dxfId="302" priority="1048" rank="50"/>
    <cfRule type="colorScale" priority="1049">
      <colorScale>
        <cfvo type="percent" val="0"/>
        <cfvo type="percentile" val="50"/>
        <cfvo type="max"/>
        <color rgb="FFF8696B"/>
        <color rgb="FFFFEB84"/>
        <color rgb="FF63BE7B"/>
      </colorScale>
    </cfRule>
    <cfRule type="colorScale" priority="1051">
      <colorScale>
        <cfvo type="percent" val="50"/>
        <cfvo type="max"/>
        <color rgb="FFFF7128"/>
        <color rgb="FFFFEF9C"/>
      </colorScale>
    </cfRule>
    <cfRule type="top10" dxfId="301" priority="1045" percent="1" rank="50"/>
  </conditionalFormatting>
  <conditionalFormatting sqref="L6:L14">
    <cfRule type="cellIs" priority="978" operator="between">
      <formula>0.5</formula>
      <formula>1</formula>
    </cfRule>
  </conditionalFormatting>
  <conditionalFormatting sqref="L7">
    <cfRule type="colorScale" priority="2389">
      <colorScale>
        <cfvo type="min"/>
        <cfvo type="max"/>
        <color rgb="FFFF7128"/>
        <color rgb="FFFFEF9C"/>
      </colorScale>
    </cfRule>
    <cfRule type="top10" dxfId="300" priority="2390" rank="50"/>
    <cfRule type="colorScale" priority="2391">
      <colorScale>
        <cfvo type="percent" val="0"/>
        <cfvo type="percentile" val="50"/>
        <cfvo type="max"/>
        <color rgb="FFF8696B"/>
        <color rgb="FFFFEB84"/>
        <color rgb="FF63BE7B"/>
      </colorScale>
    </cfRule>
    <cfRule type="colorScale" priority="2393">
      <colorScale>
        <cfvo type="percent" val="50"/>
        <cfvo type="max"/>
        <color rgb="FFFF7128"/>
        <color rgb="FFFFEF9C"/>
      </colorScale>
    </cfRule>
    <cfRule type="colorScale" priority="2380">
      <colorScale>
        <cfvo type="min"/>
        <cfvo type="percentile" val="50"/>
        <cfvo type="max"/>
        <color rgb="FF63BE7B"/>
        <color rgb="FFFFEB84"/>
        <color rgb="FFF8696B"/>
      </colorScale>
    </cfRule>
    <cfRule type="cellIs" dxfId="299" priority="2381" operator="equal">
      <formula>5</formula>
    </cfRule>
    <cfRule type="cellIs" dxfId="298" priority="2382" operator="greaterThan">
      <formula>0.5</formula>
    </cfRule>
    <cfRule type="iconSet" priority="2383">
      <iconSet iconSet="4Rating">
        <cfvo type="percent" val="0"/>
        <cfvo type="percent" val="25"/>
        <cfvo type="percent" val="50"/>
        <cfvo type="percent" val="75"/>
      </iconSet>
    </cfRule>
    <cfRule type="iconSet" priority="2384">
      <iconSet iconSet="3Arrows">
        <cfvo type="percent" val="0"/>
        <cfvo type="percent" val="33"/>
        <cfvo type="percent" val="67"/>
      </iconSet>
    </cfRule>
    <cfRule type="colorScale" priority="2385">
      <colorScale>
        <cfvo type="min"/>
        <cfvo type="max"/>
        <color rgb="FFFF7128"/>
        <color rgb="FFFFEF9C"/>
      </colorScale>
    </cfRule>
    <cfRule type="colorScale" priority="2386">
      <colorScale>
        <cfvo type="min"/>
        <cfvo type="percentile" val="50"/>
        <cfvo type="max"/>
        <color rgb="FFF8696B"/>
        <color rgb="FFFFEB84"/>
        <color rgb="FF63BE7B"/>
      </colorScale>
    </cfRule>
    <cfRule type="top10" dxfId="297" priority="2387" percent="1" rank="50"/>
    <cfRule type="dataBar" priority="2388">
      <dataBar>
        <cfvo type="percent" val="0.5"/>
        <cfvo type="max"/>
        <color rgb="FF638EC6"/>
      </dataBar>
      <extLst>
        <ext xmlns:x14="http://schemas.microsoft.com/office/spreadsheetml/2009/9/main" uri="{B025F937-C7B1-47D3-B67F-A62EFF666E3E}">
          <x14:id>{0C697858-BDA0-476D-B4A6-423CD8E45234}</x14:id>
        </ext>
      </extLst>
    </cfRule>
  </conditionalFormatting>
  <conditionalFormatting sqref="L8">
    <cfRule type="colorScale" priority="966">
      <colorScale>
        <cfvo type="min"/>
        <cfvo type="percentile" val="50"/>
        <cfvo type="max"/>
        <color rgb="FF63BE7B"/>
        <color rgb="FFFFEB84"/>
        <color rgb="FFF8696B"/>
      </colorScale>
    </cfRule>
    <cfRule type="top10" dxfId="296" priority="973" percent="1" rank="50"/>
    <cfRule type="dataBar" priority="974">
      <dataBar>
        <cfvo type="percent" val="0.5"/>
        <cfvo type="max"/>
        <color rgb="FF638EC6"/>
      </dataBar>
      <extLst>
        <ext xmlns:x14="http://schemas.microsoft.com/office/spreadsheetml/2009/9/main" uri="{B025F937-C7B1-47D3-B67F-A62EFF666E3E}">
          <x14:id>{E704CBDD-E43D-4DD6-93FB-448C53B382D0}</x14:id>
        </ext>
      </extLst>
    </cfRule>
    <cfRule type="colorScale" priority="972">
      <colorScale>
        <cfvo type="min"/>
        <cfvo type="percentile" val="50"/>
        <cfvo type="max"/>
        <color rgb="FFF8696B"/>
        <color rgb="FFFFEB84"/>
        <color rgb="FF63BE7B"/>
      </colorScale>
    </cfRule>
    <cfRule type="colorScale" priority="971">
      <colorScale>
        <cfvo type="min"/>
        <cfvo type="max"/>
        <color rgb="FFFF7128"/>
        <color rgb="FFFFEF9C"/>
      </colorScale>
    </cfRule>
    <cfRule type="iconSet" priority="970">
      <iconSet iconSet="3Arrows">
        <cfvo type="percent" val="0"/>
        <cfvo type="percent" val="33"/>
        <cfvo type="percent" val="67"/>
      </iconSet>
    </cfRule>
    <cfRule type="colorScale" priority="979">
      <colorScale>
        <cfvo type="percent" val="50"/>
        <cfvo type="max"/>
        <color rgb="FFFF7128"/>
        <color rgb="FFFFEF9C"/>
      </colorScale>
    </cfRule>
    <cfRule type="cellIs" dxfId="295" priority="968" operator="greaterThan">
      <formula>0.5</formula>
    </cfRule>
    <cfRule type="colorScale" priority="977">
      <colorScale>
        <cfvo type="percent" val="0"/>
        <cfvo type="percentile" val="50"/>
        <cfvo type="max"/>
        <color rgb="FFF8696B"/>
        <color rgb="FFFFEB84"/>
        <color rgb="FF63BE7B"/>
      </colorScale>
    </cfRule>
    <cfRule type="top10" dxfId="294" priority="976" rank="50"/>
    <cfRule type="colorScale" priority="975">
      <colorScale>
        <cfvo type="min"/>
        <cfvo type="max"/>
        <color rgb="FFFF7128"/>
        <color rgb="FFFFEF9C"/>
      </colorScale>
    </cfRule>
    <cfRule type="iconSet" priority="969">
      <iconSet iconSet="4Rating">
        <cfvo type="percent" val="0"/>
        <cfvo type="percent" val="25"/>
        <cfvo type="percent" val="50"/>
        <cfvo type="percent" val="75"/>
      </iconSet>
    </cfRule>
    <cfRule type="cellIs" dxfId="293" priority="967" operator="equal">
      <formula>5</formula>
    </cfRule>
  </conditionalFormatting>
  <conditionalFormatting sqref="L9">
    <cfRule type="colorScale" priority="1376">
      <colorScale>
        <cfvo type="min"/>
        <cfvo type="percentile" val="50"/>
        <cfvo type="max"/>
        <color rgb="FF63BE7B"/>
        <color rgb="FFFFEB84"/>
        <color rgb="FFF8696B"/>
      </colorScale>
    </cfRule>
    <cfRule type="colorScale" priority="1389">
      <colorScale>
        <cfvo type="percent" val="50"/>
        <cfvo type="max"/>
        <color rgb="FFFF7128"/>
        <color rgb="FFFFEF9C"/>
      </colorScale>
    </cfRule>
    <cfRule type="colorScale" priority="1387">
      <colorScale>
        <cfvo type="percent" val="0"/>
        <cfvo type="percentile" val="50"/>
        <cfvo type="max"/>
        <color rgb="FFF8696B"/>
        <color rgb="FFFFEB84"/>
        <color rgb="FF63BE7B"/>
      </colorScale>
    </cfRule>
    <cfRule type="top10" dxfId="292" priority="1386" rank="50"/>
    <cfRule type="colorScale" priority="1385">
      <colorScale>
        <cfvo type="min"/>
        <cfvo type="max"/>
        <color rgb="FFFF7128"/>
        <color rgb="FFFFEF9C"/>
      </colorScale>
    </cfRule>
    <cfRule type="dataBar" priority="1384">
      <dataBar>
        <cfvo type="percent" val="0.5"/>
        <cfvo type="max"/>
        <color rgb="FF638EC6"/>
      </dataBar>
      <extLst>
        <ext xmlns:x14="http://schemas.microsoft.com/office/spreadsheetml/2009/9/main" uri="{B025F937-C7B1-47D3-B67F-A62EFF666E3E}">
          <x14:id>{7FCCBB66-C587-44EC-9C72-C24962C12C82}</x14:id>
        </ext>
      </extLst>
    </cfRule>
    <cfRule type="top10" dxfId="291" priority="1383" percent="1" rank="50"/>
    <cfRule type="colorScale" priority="1382">
      <colorScale>
        <cfvo type="min"/>
        <cfvo type="percentile" val="50"/>
        <cfvo type="max"/>
        <color rgb="FFF8696B"/>
        <color rgb="FFFFEB84"/>
        <color rgb="FF63BE7B"/>
      </colorScale>
    </cfRule>
    <cfRule type="colorScale" priority="1381">
      <colorScale>
        <cfvo type="min"/>
        <cfvo type="max"/>
        <color rgb="FFFF7128"/>
        <color rgb="FFFFEF9C"/>
      </colorScale>
    </cfRule>
    <cfRule type="iconSet" priority="1380">
      <iconSet iconSet="3Arrows">
        <cfvo type="percent" val="0"/>
        <cfvo type="percent" val="33"/>
        <cfvo type="percent" val="67"/>
      </iconSet>
    </cfRule>
    <cfRule type="iconSet" priority="1379">
      <iconSet iconSet="4Rating">
        <cfvo type="percent" val="0"/>
        <cfvo type="percent" val="25"/>
        <cfvo type="percent" val="50"/>
        <cfvo type="percent" val="75"/>
      </iconSet>
    </cfRule>
    <cfRule type="cellIs" dxfId="290" priority="1378" operator="greaterThan">
      <formula>0.5</formula>
    </cfRule>
    <cfRule type="cellIs" dxfId="289" priority="1377" operator="equal">
      <formula>5</formula>
    </cfRule>
  </conditionalFormatting>
  <conditionalFormatting sqref="L10">
    <cfRule type="iconSet" priority="2478">
      <iconSet iconSet="3Arrows">
        <cfvo type="percent" val="0"/>
        <cfvo type="percent" val="33"/>
        <cfvo type="percent" val="67"/>
      </iconSet>
    </cfRule>
    <cfRule type="colorScale" priority="2479">
      <colorScale>
        <cfvo type="min"/>
        <cfvo type="max"/>
        <color rgb="FFFF7128"/>
        <color rgb="FFFFEF9C"/>
      </colorScale>
    </cfRule>
    <cfRule type="colorScale" priority="2485">
      <colorScale>
        <cfvo type="percent" val="0"/>
        <cfvo type="percentile" val="50"/>
        <cfvo type="max"/>
        <color rgb="FFF8696B"/>
        <color rgb="FFFFEB84"/>
        <color rgb="FF63BE7B"/>
      </colorScale>
    </cfRule>
    <cfRule type="cellIs" dxfId="288" priority="2476" operator="greaterThan">
      <formula>0.5</formula>
    </cfRule>
    <cfRule type="cellIs" dxfId="287" priority="2475" operator="equal">
      <formula>5</formula>
    </cfRule>
    <cfRule type="top10" dxfId="286" priority="2484" rank="50"/>
    <cfRule type="colorScale" priority="2483">
      <colorScale>
        <cfvo type="min"/>
        <cfvo type="max"/>
        <color rgb="FFFF7128"/>
        <color rgb="FFFFEF9C"/>
      </colorScale>
    </cfRule>
    <cfRule type="dataBar" priority="2482">
      <dataBar>
        <cfvo type="percent" val="0.5"/>
        <cfvo type="max"/>
        <color rgb="FF638EC6"/>
      </dataBar>
      <extLst>
        <ext xmlns:x14="http://schemas.microsoft.com/office/spreadsheetml/2009/9/main" uri="{B025F937-C7B1-47D3-B67F-A62EFF666E3E}">
          <x14:id>{3B0387F0-954F-42A1-BB0C-52D4E604EB4F}</x14:id>
        </ext>
      </extLst>
    </cfRule>
    <cfRule type="top10" dxfId="285" priority="2481" percent="1" rank="50"/>
    <cfRule type="colorScale" priority="2480">
      <colorScale>
        <cfvo type="min"/>
        <cfvo type="percentile" val="50"/>
        <cfvo type="max"/>
        <color rgb="FFF8696B"/>
        <color rgb="FFFFEB84"/>
        <color rgb="FF63BE7B"/>
      </colorScale>
    </cfRule>
    <cfRule type="colorScale" priority="2474">
      <colorScale>
        <cfvo type="min"/>
        <cfvo type="percentile" val="50"/>
        <cfvo type="max"/>
        <color rgb="FF63BE7B"/>
        <color rgb="FFFFEB84"/>
        <color rgb="FFF8696B"/>
      </colorScale>
    </cfRule>
    <cfRule type="iconSet" priority="2477">
      <iconSet iconSet="4Rating">
        <cfvo type="percent" val="0"/>
        <cfvo type="percent" val="25"/>
        <cfvo type="percent" val="50"/>
        <cfvo type="percent" val="75"/>
      </iconSet>
    </cfRule>
    <cfRule type="colorScale" priority="2487">
      <colorScale>
        <cfvo type="percent" val="50"/>
        <cfvo type="max"/>
        <color rgb="FFFF7128"/>
        <color rgb="FFFFEF9C"/>
      </colorScale>
    </cfRule>
  </conditionalFormatting>
  <conditionalFormatting sqref="L11">
    <cfRule type="top10" dxfId="284" priority="1270" rank="50"/>
    <cfRule type="colorScale" priority="1271">
      <colorScale>
        <cfvo type="percent" val="0"/>
        <cfvo type="percentile" val="50"/>
        <cfvo type="max"/>
        <color rgb="FFF8696B"/>
        <color rgb="FFFFEB84"/>
        <color rgb="FF63BE7B"/>
      </colorScale>
    </cfRule>
    <cfRule type="colorScale" priority="1269">
      <colorScale>
        <cfvo type="min"/>
        <cfvo type="max"/>
        <color rgb="FFFF7128"/>
        <color rgb="FFFFEF9C"/>
      </colorScale>
    </cfRule>
    <cfRule type="colorScale" priority="1273">
      <colorScale>
        <cfvo type="percent" val="50"/>
        <cfvo type="max"/>
        <color rgb="FFFF7128"/>
        <color rgb="FFFFEF9C"/>
      </colorScale>
    </cfRule>
    <cfRule type="dataBar" priority="1268">
      <dataBar>
        <cfvo type="percent" val="0.5"/>
        <cfvo type="max"/>
        <color rgb="FF638EC6"/>
      </dataBar>
      <extLst>
        <ext xmlns:x14="http://schemas.microsoft.com/office/spreadsheetml/2009/9/main" uri="{B025F937-C7B1-47D3-B67F-A62EFF666E3E}">
          <x14:id>{EB7C426E-A39D-4F80-979D-29BD45ACD7FA}</x14:id>
        </ext>
      </extLst>
    </cfRule>
    <cfRule type="top10" dxfId="283" priority="1267" percent="1" rank="50"/>
    <cfRule type="colorScale" priority="1266">
      <colorScale>
        <cfvo type="min"/>
        <cfvo type="percentile" val="50"/>
        <cfvo type="max"/>
        <color rgb="FFF8696B"/>
        <color rgb="FFFFEB84"/>
        <color rgb="FF63BE7B"/>
      </colorScale>
    </cfRule>
    <cfRule type="cellIs" dxfId="282" priority="1261" operator="equal">
      <formula>5</formula>
    </cfRule>
    <cfRule type="colorScale" priority="1260">
      <colorScale>
        <cfvo type="min"/>
        <cfvo type="percentile" val="50"/>
        <cfvo type="max"/>
        <color rgb="FF63BE7B"/>
        <color rgb="FFFFEB84"/>
        <color rgb="FFF8696B"/>
      </colorScale>
    </cfRule>
    <cfRule type="colorScale" priority="1265">
      <colorScale>
        <cfvo type="min"/>
        <cfvo type="max"/>
        <color rgb="FFFF7128"/>
        <color rgb="FFFFEF9C"/>
      </colorScale>
    </cfRule>
    <cfRule type="iconSet" priority="1264">
      <iconSet iconSet="3Arrows">
        <cfvo type="percent" val="0"/>
        <cfvo type="percent" val="33"/>
        <cfvo type="percent" val="67"/>
      </iconSet>
    </cfRule>
    <cfRule type="iconSet" priority="1263">
      <iconSet iconSet="4Rating">
        <cfvo type="percent" val="0"/>
        <cfvo type="percent" val="25"/>
        <cfvo type="percent" val="50"/>
        <cfvo type="percent" val="75"/>
      </iconSet>
    </cfRule>
    <cfRule type="cellIs" dxfId="281" priority="1262" operator="greaterThan">
      <formula>0.5</formula>
    </cfRule>
  </conditionalFormatting>
  <conditionalFormatting sqref="L12">
    <cfRule type="colorScale" priority="2069">
      <colorScale>
        <cfvo type="min"/>
        <cfvo type="percentile" val="50"/>
        <cfvo type="max"/>
        <color rgb="FF63BE7B"/>
        <color rgb="FFFFEB84"/>
        <color rgb="FFF8696B"/>
      </colorScale>
    </cfRule>
    <cfRule type="cellIs" dxfId="280" priority="2070" operator="equal">
      <formula>5</formula>
    </cfRule>
    <cfRule type="cellIs" dxfId="279" priority="2071" operator="greaterThan">
      <formula>0.5</formula>
    </cfRule>
    <cfRule type="top10" dxfId="278" priority="2076" percent="1" rank="50"/>
    <cfRule type="colorScale" priority="2082">
      <colorScale>
        <cfvo type="percent" val="50"/>
        <cfvo type="max"/>
        <color rgb="FFFF7128"/>
        <color rgb="FFFFEF9C"/>
      </colorScale>
    </cfRule>
    <cfRule type="colorScale" priority="2080">
      <colorScale>
        <cfvo type="percent" val="0"/>
        <cfvo type="percentile" val="50"/>
        <cfvo type="max"/>
        <color rgb="FFF8696B"/>
        <color rgb="FFFFEB84"/>
        <color rgb="FF63BE7B"/>
      </colorScale>
    </cfRule>
    <cfRule type="top10" dxfId="277" priority="2079" rank="50"/>
    <cfRule type="colorScale" priority="2078">
      <colorScale>
        <cfvo type="min"/>
        <cfvo type="max"/>
        <color rgb="FFFF7128"/>
        <color rgb="FFFFEF9C"/>
      </colorScale>
    </cfRule>
    <cfRule type="colorScale" priority="2075">
      <colorScale>
        <cfvo type="min"/>
        <cfvo type="percentile" val="50"/>
        <cfvo type="max"/>
        <color rgb="FFF8696B"/>
        <color rgb="FFFFEB84"/>
        <color rgb="FF63BE7B"/>
      </colorScale>
    </cfRule>
    <cfRule type="dataBar" priority="2077">
      <dataBar>
        <cfvo type="percent" val="0.5"/>
        <cfvo type="max"/>
        <color rgb="FF638EC6"/>
      </dataBar>
      <extLst>
        <ext xmlns:x14="http://schemas.microsoft.com/office/spreadsheetml/2009/9/main" uri="{B025F937-C7B1-47D3-B67F-A62EFF666E3E}">
          <x14:id>{BC55B727-793D-4DEE-8E79-EADB55081FDF}</x14:id>
        </ext>
      </extLst>
    </cfRule>
    <cfRule type="colorScale" priority="2074">
      <colorScale>
        <cfvo type="min"/>
        <cfvo type="max"/>
        <color rgb="FFFF7128"/>
        <color rgb="FFFFEF9C"/>
      </colorScale>
    </cfRule>
    <cfRule type="iconSet" priority="2073">
      <iconSet iconSet="3Arrows">
        <cfvo type="percent" val="0"/>
        <cfvo type="percent" val="33"/>
        <cfvo type="percent" val="67"/>
      </iconSet>
    </cfRule>
    <cfRule type="iconSet" priority="2072">
      <iconSet iconSet="4Rating">
        <cfvo type="percent" val="0"/>
        <cfvo type="percent" val="25"/>
        <cfvo type="percent" val="50"/>
        <cfvo type="percent" val="75"/>
      </iconSet>
    </cfRule>
  </conditionalFormatting>
  <conditionalFormatting sqref="L13">
    <cfRule type="dataBar" priority="2589">
      <dataBar>
        <cfvo type="percent" val="0.5"/>
        <cfvo type="max"/>
        <color rgb="FF638EC6"/>
      </dataBar>
      <extLst>
        <ext xmlns:x14="http://schemas.microsoft.com/office/spreadsheetml/2009/9/main" uri="{B025F937-C7B1-47D3-B67F-A62EFF666E3E}">
          <x14:id>{B17405A8-E8DD-462F-B0DE-7C2270A77377}</x14:id>
        </ext>
      </extLst>
    </cfRule>
    <cfRule type="colorScale" priority="2590">
      <colorScale>
        <cfvo type="min"/>
        <cfvo type="max"/>
        <color rgb="FFFF7128"/>
        <color rgb="FFFFEF9C"/>
      </colorScale>
    </cfRule>
    <cfRule type="top10" dxfId="276" priority="2591" rank="50"/>
    <cfRule type="colorScale" priority="2592">
      <colorScale>
        <cfvo type="percent" val="0"/>
        <cfvo type="percentile" val="50"/>
        <cfvo type="max"/>
        <color rgb="FFF8696B"/>
        <color rgb="FFFFEB84"/>
        <color rgb="FF63BE7B"/>
      </colorScale>
    </cfRule>
    <cfRule type="top10" dxfId="275" priority="2588" percent="1" rank="50"/>
    <cfRule type="cellIs" dxfId="274" priority="2582" operator="equal">
      <formula>5</formula>
    </cfRule>
    <cfRule type="cellIs" dxfId="273" priority="2583" operator="greaterThan">
      <formula>0.5</formula>
    </cfRule>
    <cfRule type="iconSet" priority="2584">
      <iconSet iconSet="4Rating">
        <cfvo type="percent" val="0"/>
        <cfvo type="percent" val="25"/>
        <cfvo type="percent" val="50"/>
        <cfvo type="percent" val="75"/>
      </iconSet>
    </cfRule>
    <cfRule type="iconSet" priority="2585">
      <iconSet iconSet="3Arrows">
        <cfvo type="percent" val="0"/>
        <cfvo type="percent" val="33"/>
        <cfvo type="percent" val="67"/>
      </iconSet>
    </cfRule>
    <cfRule type="colorScale" priority="2581">
      <colorScale>
        <cfvo type="min"/>
        <cfvo type="percentile" val="50"/>
        <cfvo type="max"/>
        <color rgb="FF63BE7B"/>
        <color rgb="FFFFEB84"/>
        <color rgb="FFF8696B"/>
      </colorScale>
    </cfRule>
    <cfRule type="colorScale" priority="2586">
      <colorScale>
        <cfvo type="min"/>
        <cfvo type="max"/>
        <color rgb="FFFF7128"/>
        <color rgb="FFFFEF9C"/>
      </colorScale>
    </cfRule>
    <cfRule type="colorScale" priority="2587">
      <colorScale>
        <cfvo type="min"/>
        <cfvo type="percentile" val="50"/>
        <cfvo type="max"/>
        <color rgb="FFF8696B"/>
        <color rgb="FFFFEB84"/>
        <color rgb="FF63BE7B"/>
      </colorScale>
    </cfRule>
    <cfRule type="colorScale" priority="2594">
      <colorScale>
        <cfvo type="percent" val="50"/>
        <cfvo type="max"/>
        <color rgb="FFFF7128"/>
        <color rgb="FFFFEF9C"/>
      </colorScale>
    </cfRule>
  </conditionalFormatting>
  <conditionalFormatting sqref="L14">
    <cfRule type="cellIs" dxfId="272" priority="2298" operator="greaterThan">
      <formula>0.5</formula>
    </cfRule>
    <cfRule type="colorScale" priority="2302">
      <colorScale>
        <cfvo type="min"/>
        <cfvo type="percentile" val="50"/>
        <cfvo type="max"/>
        <color rgb="FFF8696B"/>
        <color rgb="FFFFEB84"/>
        <color rgb="FF63BE7B"/>
      </colorScale>
    </cfRule>
    <cfRule type="colorScale" priority="2301">
      <colorScale>
        <cfvo type="min"/>
        <cfvo type="max"/>
        <color rgb="FFFF7128"/>
        <color rgb="FFFFEF9C"/>
      </colorScale>
    </cfRule>
    <cfRule type="top10" dxfId="271" priority="2303" percent="1" rank="50"/>
    <cfRule type="dataBar" priority="2304">
      <dataBar>
        <cfvo type="percent" val="0.5"/>
        <cfvo type="max"/>
        <color rgb="FF638EC6"/>
      </dataBar>
      <extLst>
        <ext xmlns:x14="http://schemas.microsoft.com/office/spreadsheetml/2009/9/main" uri="{B025F937-C7B1-47D3-B67F-A62EFF666E3E}">
          <x14:id>{6BC0412C-4F68-43FB-9A84-4B99024CBB1A}</x14:id>
        </ext>
      </extLst>
    </cfRule>
    <cfRule type="colorScale" priority="2296">
      <colorScale>
        <cfvo type="min"/>
        <cfvo type="percentile" val="50"/>
        <cfvo type="max"/>
        <color rgb="FF63BE7B"/>
        <color rgb="FFFFEB84"/>
        <color rgb="FFF8696B"/>
      </colorScale>
    </cfRule>
    <cfRule type="colorScale" priority="2305">
      <colorScale>
        <cfvo type="min"/>
        <cfvo type="max"/>
        <color rgb="FFFF7128"/>
        <color rgb="FFFFEF9C"/>
      </colorScale>
    </cfRule>
    <cfRule type="top10" dxfId="270" priority="2306" rank="50"/>
    <cfRule type="colorScale" priority="2307">
      <colorScale>
        <cfvo type="percent" val="0"/>
        <cfvo type="percentile" val="50"/>
        <cfvo type="max"/>
        <color rgb="FFF8696B"/>
        <color rgb="FFFFEB84"/>
        <color rgb="FF63BE7B"/>
      </colorScale>
    </cfRule>
    <cfRule type="colorScale" priority="2309">
      <colorScale>
        <cfvo type="percent" val="50"/>
        <cfvo type="max"/>
        <color rgb="FFFF7128"/>
        <color rgb="FFFFEF9C"/>
      </colorScale>
    </cfRule>
    <cfRule type="cellIs" dxfId="269" priority="2297" operator="equal">
      <formula>5</formula>
    </cfRule>
    <cfRule type="iconSet" priority="2300">
      <iconSet iconSet="3Arrows">
        <cfvo type="percent" val="0"/>
        <cfvo type="percent" val="33"/>
        <cfvo type="percent" val="67"/>
      </iconSet>
    </cfRule>
    <cfRule type="iconSet" priority="2299">
      <iconSet iconSet="4Rating">
        <cfvo type="percent" val="0"/>
        <cfvo type="percent" val="25"/>
        <cfvo type="percent" val="50"/>
        <cfvo type="percent" val="75"/>
      </iconSet>
    </cfRule>
  </conditionalFormatting>
  <conditionalFormatting sqref="L15">
    <cfRule type="colorScale" priority="883">
      <colorScale>
        <cfvo type="percent" val="0"/>
        <cfvo type="percentile" val="50"/>
        <cfvo type="max"/>
        <color rgb="FFF8696B"/>
        <color rgb="FFFFEB84"/>
        <color rgb="FF63BE7B"/>
      </colorScale>
    </cfRule>
    <cfRule type="colorScale" priority="881">
      <colorScale>
        <cfvo type="min"/>
        <cfvo type="max"/>
        <color rgb="FFFF7128"/>
        <color rgb="FFFFEF9C"/>
      </colorScale>
    </cfRule>
    <cfRule type="colorScale" priority="884">
      <colorScale>
        <cfvo type="percent" val="50"/>
        <cfvo type="max"/>
        <color rgb="FFFF7128"/>
        <color rgb="FFFFEF9C"/>
      </colorScale>
    </cfRule>
    <cfRule type="top10" dxfId="268" priority="882" rank="50"/>
    <cfRule type="dataBar" priority="880">
      <dataBar>
        <cfvo type="percent" val="0.5"/>
        <cfvo type="max"/>
        <color rgb="FF638EC6"/>
      </dataBar>
      <extLst>
        <ext xmlns:x14="http://schemas.microsoft.com/office/spreadsheetml/2009/9/main" uri="{B025F937-C7B1-47D3-B67F-A62EFF666E3E}">
          <x14:id>{A500B9C8-D36A-4E54-9481-A5BF01F1E717}</x14:id>
        </ext>
      </extLst>
    </cfRule>
    <cfRule type="top10" dxfId="267" priority="879" percent="1" rank="50"/>
    <cfRule type="colorScale" priority="878">
      <colorScale>
        <cfvo type="min"/>
        <cfvo type="percentile" val="50"/>
        <cfvo type="max"/>
        <color rgb="FFF8696B"/>
        <color rgb="FFFFEB84"/>
        <color rgb="FF63BE7B"/>
      </colorScale>
    </cfRule>
    <cfRule type="colorScale" priority="877">
      <colorScale>
        <cfvo type="min"/>
        <cfvo type="max"/>
        <color rgb="FFFF7128"/>
        <color rgb="FFFFEF9C"/>
      </colorScale>
    </cfRule>
    <cfRule type="iconSet" priority="876">
      <iconSet iconSet="3Arrows">
        <cfvo type="percent" val="0"/>
        <cfvo type="percent" val="33"/>
        <cfvo type="percent" val="67"/>
      </iconSet>
    </cfRule>
    <cfRule type="iconSet" priority="875">
      <iconSet iconSet="4Rating">
        <cfvo type="percent" val="0"/>
        <cfvo type="percent" val="25"/>
        <cfvo type="percent" val="50"/>
        <cfvo type="percent" val="75"/>
      </iconSet>
    </cfRule>
    <cfRule type="cellIs" dxfId="266" priority="874" operator="greaterThan">
      <formula>0.5</formula>
    </cfRule>
    <cfRule type="cellIs" dxfId="265" priority="873" operator="equal">
      <formula>5</formula>
    </cfRule>
    <cfRule type="colorScale" priority="872">
      <colorScale>
        <cfvo type="min"/>
        <cfvo type="percentile" val="50"/>
        <cfvo type="max"/>
        <color rgb="FF63BE7B"/>
        <color rgb="FFFFEB84"/>
        <color rgb="FFF8696B"/>
      </colorScale>
    </cfRule>
  </conditionalFormatting>
  <conditionalFormatting sqref="L16">
    <cfRule type="colorScale" priority="623">
      <colorScale>
        <cfvo type="percent" val="50"/>
        <cfvo type="max"/>
        <color rgb="FFFF7128"/>
        <color rgb="FFFFEF9C"/>
      </colorScale>
    </cfRule>
    <cfRule type="cellIs" priority="583" operator="between">
      <formula>0.5</formula>
      <formula>1</formula>
    </cfRule>
    <cfRule type="colorScale" priority="622">
      <colorScale>
        <cfvo type="percent" val="0"/>
        <cfvo type="percentile" val="50"/>
        <cfvo type="max"/>
        <color rgb="FFF8696B"/>
        <color rgb="FFFFEB84"/>
        <color rgb="FF63BE7B"/>
      </colorScale>
    </cfRule>
    <cfRule type="top10" dxfId="264" priority="621" rank="50"/>
    <cfRule type="colorScale" priority="620">
      <colorScale>
        <cfvo type="min"/>
        <cfvo type="max"/>
        <color rgb="FFFF7128"/>
        <color rgb="FFFFEF9C"/>
      </colorScale>
    </cfRule>
    <cfRule type="dataBar" priority="619">
      <dataBar>
        <cfvo type="percent" val="0.5"/>
        <cfvo type="max"/>
        <color rgb="FF638EC6"/>
      </dataBar>
      <extLst>
        <ext xmlns:x14="http://schemas.microsoft.com/office/spreadsheetml/2009/9/main" uri="{B025F937-C7B1-47D3-B67F-A62EFF666E3E}">
          <x14:id>{5B8A102F-D164-44C1-AFA9-F8CC26303CAF}</x14:id>
        </ext>
      </extLst>
    </cfRule>
    <cfRule type="top10" dxfId="263" priority="618" percent="1" rank="50"/>
    <cfRule type="colorScale" priority="617">
      <colorScale>
        <cfvo type="min"/>
        <cfvo type="percentile" val="50"/>
        <cfvo type="max"/>
        <color rgb="FFF8696B"/>
        <color rgb="FFFFEB84"/>
        <color rgb="FF63BE7B"/>
      </colorScale>
    </cfRule>
    <cfRule type="colorScale" priority="616">
      <colorScale>
        <cfvo type="min"/>
        <cfvo type="max"/>
        <color rgb="FFFF7128"/>
        <color rgb="FFFFEF9C"/>
      </colorScale>
    </cfRule>
    <cfRule type="iconSet" priority="615">
      <iconSet iconSet="3Arrows">
        <cfvo type="percent" val="0"/>
        <cfvo type="percent" val="33"/>
        <cfvo type="percent" val="67"/>
      </iconSet>
    </cfRule>
    <cfRule type="iconSet" priority="614">
      <iconSet iconSet="4Rating">
        <cfvo type="percent" val="0"/>
        <cfvo type="percent" val="25"/>
        <cfvo type="percent" val="50"/>
        <cfvo type="percent" val="75"/>
      </iconSet>
    </cfRule>
    <cfRule type="cellIs" dxfId="262" priority="613" operator="greaterThan">
      <formula>0.5</formula>
    </cfRule>
    <cfRule type="colorScale" priority="611">
      <colorScale>
        <cfvo type="min"/>
        <cfvo type="percentile" val="50"/>
        <cfvo type="max"/>
        <color rgb="FF63BE7B"/>
        <color rgb="FFFFEB84"/>
        <color rgb="FFF8696B"/>
      </colorScale>
    </cfRule>
    <cfRule type="cellIs" dxfId="261" priority="612" operator="equal">
      <formula>5</formula>
    </cfRule>
  </conditionalFormatting>
  <conditionalFormatting sqref="L17">
    <cfRule type="colorScale" priority="565">
      <colorScale>
        <cfvo type="percent" val="50"/>
        <cfvo type="max"/>
        <color rgb="FFFF7128"/>
        <color rgb="FFFFEF9C"/>
      </colorScale>
    </cfRule>
    <cfRule type="colorScale" priority="564">
      <colorScale>
        <cfvo type="percent" val="0"/>
        <cfvo type="percentile" val="50"/>
        <cfvo type="max"/>
        <color rgb="FFF8696B"/>
        <color rgb="FFFFEB84"/>
        <color rgb="FF63BE7B"/>
      </colorScale>
    </cfRule>
    <cfRule type="colorScale" priority="553">
      <colorScale>
        <cfvo type="min"/>
        <cfvo type="percentile" val="50"/>
        <cfvo type="max"/>
        <color rgb="FF63BE7B"/>
        <color rgb="FFFFEB84"/>
        <color rgb="FFF8696B"/>
      </colorScale>
    </cfRule>
    <cfRule type="colorScale" priority="562">
      <colorScale>
        <cfvo type="min"/>
        <cfvo type="max"/>
        <color rgb="FFFF7128"/>
        <color rgb="FFFFEF9C"/>
      </colorScale>
    </cfRule>
    <cfRule type="cellIs" dxfId="260" priority="554" operator="equal">
      <formula>5</formula>
    </cfRule>
    <cfRule type="dataBar" priority="561">
      <dataBar>
        <cfvo type="percent" val="0.5"/>
        <cfvo type="max"/>
        <color rgb="FF638EC6"/>
      </dataBar>
      <extLst>
        <ext xmlns:x14="http://schemas.microsoft.com/office/spreadsheetml/2009/9/main" uri="{B025F937-C7B1-47D3-B67F-A62EFF666E3E}">
          <x14:id>{DE779F09-EA85-4F02-BB74-D4C2561FF3A7}</x14:id>
        </ext>
      </extLst>
    </cfRule>
    <cfRule type="cellIs" dxfId="259" priority="555" operator="greaterThan">
      <formula>0.5</formula>
    </cfRule>
    <cfRule type="iconSet" priority="556">
      <iconSet iconSet="4Rating">
        <cfvo type="percent" val="0"/>
        <cfvo type="percent" val="25"/>
        <cfvo type="percent" val="50"/>
        <cfvo type="percent" val="75"/>
      </iconSet>
    </cfRule>
    <cfRule type="iconSet" priority="557">
      <iconSet iconSet="3Arrows">
        <cfvo type="percent" val="0"/>
        <cfvo type="percent" val="33"/>
        <cfvo type="percent" val="67"/>
      </iconSet>
    </cfRule>
    <cfRule type="colorScale" priority="558">
      <colorScale>
        <cfvo type="min"/>
        <cfvo type="max"/>
        <color rgb="FFFF7128"/>
        <color rgb="FFFFEF9C"/>
      </colorScale>
    </cfRule>
    <cfRule type="colorScale" priority="559">
      <colorScale>
        <cfvo type="min"/>
        <cfvo type="percentile" val="50"/>
        <cfvo type="max"/>
        <color rgb="FFF8696B"/>
        <color rgb="FFFFEB84"/>
        <color rgb="FF63BE7B"/>
      </colorScale>
    </cfRule>
    <cfRule type="top10" dxfId="258" priority="560" percent="1" rank="50"/>
    <cfRule type="top10" dxfId="257" priority="563" rank="50"/>
  </conditionalFormatting>
  <conditionalFormatting sqref="L18">
    <cfRule type="colorScale" priority="419">
      <colorScale>
        <cfvo type="min"/>
        <cfvo type="max"/>
        <color rgb="FFFF7128"/>
        <color rgb="FFFFEF9C"/>
      </colorScale>
    </cfRule>
    <cfRule type="top10" dxfId="256" priority="420" rank="50"/>
    <cfRule type="iconSet" priority="414">
      <iconSet iconSet="3Arrows">
        <cfvo type="percent" val="0"/>
        <cfvo type="percent" val="33"/>
        <cfvo type="percent" val="67"/>
      </iconSet>
    </cfRule>
    <cfRule type="colorScale" priority="415">
      <colorScale>
        <cfvo type="min"/>
        <cfvo type="max"/>
        <color rgb="FFFF7128"/>
        <color rgb="FFFFEF9C"/>
      </colorScale>
    </cfRule>
    <cfRule type="dataBar" priority="418">
      <dataBar>
        <cfvo type="percent" val="0.5"/>
        <cfvo type="max"/>
        <color rgb="FF638EC6"/>
      </dataBar>
      <extLst>
        <ext xmlns:x14="http://schemas.microsoft.com/office/spreadsheetml/2009/9/main" uri="{B025F937-C7B1-47D3-B67F-A62EFF666E3E}">
          <x14:id>{3D630A7F-73B2-A64A-B0E3-75F453958C87}</x14:id>
        </ext>
      </extLst>
    </cfRule>
    <cfRule type="top10" dxfId="255" priority="417" percent="1" rank="50"/>
    <cfRule type="cellIs" dxfId="254" priority="412" operator="greaterThan">
      <formula>0.5</formula>
    </cfRule>
    <cfRule type="colorScale" priority="421">
      <colorScale>
        <cfvo type="percent" val="0"/>
        <cfvo type="percentile" val="50"/>
        <cfvo type="max"/>
        <color rgb="FFF8696B"/>
        <color rgb="FFFFEB84"/>
        <color rgb="FF63BE7B"/>
      </colorScale>
    </cfRule>
    <cfRule type="colorScale" priority="422">
      <colorScale>
        <cfvo type="percent" val="50"/>
        <cfvo type="max"/>
        <color rgb="FFFF7128"/>
        <color rgb="FFFFEF9C"/>
      </colorScale>
    </cfRule>
    <cfRule type="cellIs" dxfId="253" priority="411" operator="equal">
      <formula>5</formula>
    </cfRule>
    <cfRule type="colorScale" priority="410">
      <colorScale>
        <cfvo type="min"/>
        <cfvo type="percentile" val="50"/>
        <cfvo type="max"/>
        <color rgb="FF63BE7B"/>
        <color rgb="FFFFEB84"/>
        <color rgb="FFF8696B"/>
      </colorScale>
    </cfRule>
    <cfRule type="colorScale" priority="416">
      <colorScale>
        <cfvo type="min"/>
        <cfvo type="percentile" val="50"/>
        <cfvo type="max"/>
        <color rgb="FFF8696B"/>
        <color rgb="FFFFEB84"/>
        <color rgb="FF63BE7B"/>
      </colorScale>
    </cfRule>
    <cfRule type="iconSet" priority="413">
      <iconSet iconSet="4Rating">
        <cfvo type="percent" val="0"/>
        <cfvo type="percent" val="25"/>
        <cfvo type="percent" val="50"/>
        <cfvo type="percent" val="75"/>
      </iconSet>
    </cfRule>
  </conditionalFormatting>
  <conditionalFormatting sqref="L19">
    <cfRule type="colorScale" priority="281">
      <colorScale>
        <cfvo type="min"/>
        <cfvo type="max"/>
        <color rgb="FFFF7128"/>
        <color rgb="FFFFEF9C"/>
      </colorScale>
    </cfRule>
    <cfRule type="colorScale" priority="282">
      <colorScale>
        <cfvo type="min"/>
        <cfvo type="percentile" val="50"/>
        <cfvo type="max"/>
        <color rgb="FFF8696B"/>
        <color rgb="FFFFEB84"/>
        <color rgb="FF63BE7B"/>
      </colorScale>
    </cfRule>
    <cfRule type="iconSet" priority="279">
      <iconSet iconSet="4Rating">
        <cfvo type="percent" val="0"/>
        <cfvo type="percent" val="25"/>
        <cfvo type="percent" val="50"/>
        <cfvo type="percent" val="75"/>
      </iconSet>
    </cfRule>
    <cfRule type="cellIs" dxfId="252" priority="278" operator="greaterThan">
      <formula>0.5</formula>
    </cfRule>
    <cfRule type="top10" dxfId="251" priority="283" percent="1" rank="50"/>
    <cfRule type="dataBar" priority="284">
      <dataBar>
        <cfvo type="percent" val="0.5"/>
        <cfvo type="max"/>
        <color rgb="FF638EC6"/>
      </dataBar>
      <extLst>
        <ext xmlns:x14="http://schemas.microsoft.com/office/spreadsheetml/2009/9/main" uri="{B025F937-C7B1-47D3-B67F-A62EFF666E3E}">
          <x14:id>{A3EE8366-4A3E-4F94-BDD9-9A6CB5A7AD9A}</x14:id>
        </ext>
      </extLst>
    </cfRule>
    <cfRule type="colorScale" priority="285">
      <colorScale>
        <cfvo type="min"/>
        <cfvo type="max"/>
        <color rgb="FFFF7128"/>
        <color rgb="FFFFEF9C"/>
      </colorScale>
    </cfRule>
    <cfRule type="iconSet" priority="280">
      <iconSet iconSet="3Arrows">
        <cfvo type="percent" val="0"/>
        <cfvo type="percent" val="33"/>
        <cfvo type="percent" val="67"/>
      </iconSet>
    </cfRule>
    <cfRule type="top10" dxfId="250" priority="286" rank="50"/>
    <cfRule type="colorScale" priority="276">
      <colorScale>
        <cfvo type="min"/>
        <cfvo type="percentile" val="50"/>
        <cfvo type="max"/>
        <color rgb="FF63BE7B"/>
        <color rgb="FFFFEB84"/>
        <color rgb="FFF8696B"/>
      </colorScale>
    </cfRule>
    <cfRule type="cellIs" dxfId="249" priority="277" operator="equal">
      <formula>5</formula>
    </cfRule>
    <cfRule type="colorScale" priority="287">
      <colorScale>
        <cfvo type="percent" val="0"/>
        <cfvo type="percentile" val="50"/>
        <cfvo type="max"/>
        <color rgb="FFF8696B"/>
        <color rgb="FFFFEB84"/>
        <color rgb="FF63BE7B"/>
      </colorScale>
    </cfRule>
    <cfRule type="cellIs" priority="248" operator="between">
      <formula>0.5</formula>
      <formula>1</formula>
    </cfRule>
    <cfRule type="colorScale" priority="288">
      <colorScale>
        <cfvo type="percent" val="50"/>
        <cfvo type="max"/>
        <color rgb="FFFF7128"/>
        <color rgb="FFFFEF9C"/>
      </colorScale>
    </cfRule>
  </conditionalFormatting>
  <conditionalFormatting sqref="L20:L26">
    <cfRule type="colorScale" priority="218">
      <colorScale>
        <cfvo type="min"/>
        <cfvo type="percentile" val="50"/>
        <cfvo type="max"/>
        <color rgb="FF63BE7B"/>
        <color rgb="FFFFEB84"/>
        <color rgb="FFF8696B"/>
      </colorScale>
    </cfRule>
    <cfRule type="dataBar" priority="226">
      <dataBar>
        <cfvo type="percent" val="0.5"/>
        <cfvo type="max"/>
        <color rgb="FF638EC6"/>
      </dataBar>
      <extLst>
        <ext xmlns:x14="http://schemas.microsoft.com/office/spreadsheetml/2009/9/main" uri="{B025F937-C7B1-47D3-B67F-A62EFF666E3E}">
          <x14:id>{DE6B2C8D-66AC-6348-B930-0349E49950FB}</x14:id>
        </ext>
      </extLst>
    </cfRule>
    <cfRule type="colorScale" priority="227">
      <colorScale>
        <cfvo type="min"/>
        <cfvo type="max"/>
        <color rgb="FFFF7128"/>
        <color rgb="FFFFEF9C"/>
      </colorScale>
    </cfRule>
    <cfRule type="top10" dxfId="248" priority="228" rank="50"/>
    <cfRule type="colorScale" priority="229">
      <colorScale>
        <cfvo type="percent" val="0"/>
        <cfvo type="percentile" val="50"/>
        <cfvo type="max"/>
        <color rgb="FFF8696B"/>
        <color rgb="FFFFEB84"/>
        <color rgb="FF63BE7B"/>
      </colorScale>
    </cfRule>
    <cfRule type="colorScale" priority="230">
      <colorScale>
        <cfvo type="percent" val="50"/>
        <cfvo type="max"/>
        <color rgb="FFFF7128"/>
        <color rgb="FFFFEF9C"/>
      </colorScale>
    </cfRule>
    <cfRule type="top10" dxfId="247" priority="225" percent="1" rank="50"/>
    <cfRule type="cellIs" dxfId="246" priority="219" operator="equal">
      <formula>5</formula>
    </cfRule>
    <cfRule type="cellIs" dxfId="245" priority="220" operator="greaterThan">
      <formula>0.5</formula>
    </cfRule>
    <cfRule type="iconSet" priority="221">
      <iconSet iconSet="4Rating">
        <cfvo type="percent" val="0"/>
        <cfvo type="percent" val="25"/>
        <cfvo type="percent" val="50"/>
        <cfvo type="percent" val="75"/>
      </iconSet>
    </cfRule>
    <cfRule type="iconSet" priority="222">
      <iconSet iconSet="3Arrows">
        <cfvo type="percent" val="0"/>
        <cfvo type="percent" val="33"/>
        <cfvo type="percent" val="67"/>
      </iconSet>
    </cfRule>
    <cfRule type="colorScale" priority="223">
      <colorScale>
        <cfvo type="min"/>
        <cfvo type="max"/>
        <color rgb="FFFF7128"/>
        <color rgb="FFFFEF9C"/>
      </colorScale>
    </cfRule>
    <cfRule type="colorScale" priority="224">
      <colorScale>
        <cfvo type="min"/>
        <cfvo type="percentile" val="50"/>
        <cfvo type="max"/>
        <color rgb="FFF8696B"/>
        <color rgb="FFFFEB84"/>
        <color rgb="FF63BE7B"/>
      </colorScale>
    </cfRule>
  </conditionalFormatting>
  <conditionalFormatting sqref="N6">
    <cfRule type="colorScale" priority="1001">
      <colorScale>
        <cfvo type="min"/>
        <cfvo type="percentile" val="50"/>
        <cfvo type="max"/>
        <color rgb="FFF8696B"/>
        <color rgb="FFFFEB84"/>
        <color rgb="FF63BE7B"/>
      </colorScale>
    </cfRule>
    <cfRule type="colorScale" priority="1000">
      <colorScale>
        <cfvo type="min"/>
        <cfvo type="max"/>
        <color rgb="FFFF7128"/>
        <color rgb="FFFFEF9C"/>
      </colorScale>
    </cfRule>
    <cfRule type="colorScale" priority="1008">
      <colorScale>
        <cfvo type="percent" val="50"/>
        <cfvo type="max"/>
        <color rgb="FFFF7128"/>
        <color rgb="FFFFEF9C"/>
      </colorScale>
    </cfRule>
    <cfRule type="colorScale" priority="1006">
      <colorScale>
        <cfvo type="percent" val="0"/>
        <cfvo type="percentile" val="50"/>
        <cfvo type="max"/>
        <color rgb="FFF8696B"/>
        <color rgb="FFFFEB84"/>
        <color rgb="FF63BE7B"/>
      </colorScale>
    </cfRule>
    <cfRule type="top10" dxfId="244" priority="1005" rank="50"/>
    <cfRule type="iconSet" priority="997">
      <iconSet iconSet="4Rating">
        <cfvo type="percent" val="0"/>
        <cfvo type="percent" val="25"/>
        <cfvo type="percent" val="50"/>
        <cfvo type="percent" val="75"/>
      </iconSet>
    </cfRule>
    <cfRule type="iconSet" priority="998">
      <iconSet iconSet="3Arrows">
        <cfvo type="percent" val="0"/>
        <cfvo type="percent" val="33"/>
        <cfvo type="percent" val="67"/>
      </iconSet>
    </cfRule>
    <cfRule type="colorScale" priority="1004">
      <colorScale>
        <cfvo type="min"/>
        <cfvo type="max"/>
        <color rgb="FFFF7128"/>
        <color rgb="FFFFEF9C"/>
      </colorScale>
    </cfRule>
    <cfRule type="dataBar" priority="1003">
      <dataBar>
        <cfvo type="percent" val="0.5"/>
        <cfvo type="max"/>
        <color rgb="FF638EC6"/>
      </dataBar>
      <extLst>
        <ext xmlns:x14="http://schemas.microsoft.com/office/spreadsheetml/2009/9/main" uri="{B025F937-C7B1-47D3-B67F-A62EFF666E3E}">
          <x14:id>{9267B528-2A25-4772-B962-273E7C40EA02}</x14:id>
        </ext>
      </extLst>
    </cfRule>
    <cfRule type="top10" dxfId="243" priority="1002" percent="1" rank="50"/>
    <cfRule type="colorScale" priority="999">
      <colorScale>
        <cfvo type="min"/>
        <cfvo type="percentile" val="50"/>
        <cfvo type="max"/>
        <color rgb="FFF8696B"/>
        <color rgb="FFFCFCFF"/>
        <color rgb="FF5A8AC6"/>
      </colorScale>
    </cfRule>
  </conditionalFormatting>
  <conditionalFormatting sqref="N6:N14">
    <cfRule type="cellIs" priority="964" operator="between">
      <formula>0.5</formula>
      <formula>1</formula>
    </cfRule>
  </conditionalFormatting>
  <conditionalFormatting sqref="N7">
    <cfRule type="colorScale" priority="2352">
      <colorScale>
        <cfvo type="percent" val="50"/>
        <cfvo type="max"/>
        <color rgb="FFFF7128"/>
        <color rgb="FFFFEF9C"/>
      </colorScale>
    </cfRule>
    <cfRule type="iconSet" priority="2341">
      <iconSet iconSet="4Rating">
        <cfvo type="percent" val="0"/>
        <cfvo type="percent" val="25"/>
        <cfvo type="percent" val="50"/>
        <cfvo type="percent" val="75"/>
      </iconSet>
    </cfRule>
    <cfRule type="iconSet" priority="2342">
      <iconSet iconSet="3Arrows">
        <cfvo type="percent" val="0"/>
        <cfvo type="percent" val="33"/>
        <cfvo type="percent" val="67"/>
      </iconSet>
    </cfRule>
    <cfRule type="colorScale" priority="2343">
      <colorScale>
        <cfvo type="min"/>
        <cfvo type="percentile" val="50"/>
        <cfvo type="max"/>
        <color rgb="FFF8696B"/>
        <color rgb="FFFCFCFF"/>
        <color rgb="FF5A8AC6"/>
      </colorScale>
    </cfRule>
    <cfRule type="colorScale" priority="2350">
      <colorScale>
        <cfvo type="percent" val="0"/>
        <cfvo type="percentile" val="50"/>
        <cfvo type="max"/>
        <color rgb="FFF8696B"/>
        <color rgb="FFFFEB84"/>
        <color rgb="FF63BE7B"/>
      </colorScale>
    </cfRule>
    <cfRule type="top10" dxfId="242" priority="2349" rank="50"/>
    <cfRule type="colorScale" priority="2348">
      <colorScale>
        <cfvo type="min"/>
        <cfvo type="max"/>
        <color rgb="FFFF7128"/>
        <color rgb="FFFFEF9C"/>
      </colorScale>
    </cfRule>
    <cfRule type="dataBar" priority="2347">
      <dataBar>
        <cfvo type="percent" val="0.5"/>
        <cfvo type="max"/>
        <color rgb="FF638EC6"/>
      </dataBar>
      <extLst>
        <ext xmlns:x14="http://schemas.microsoft.com/office/spreadsheetml/2009/9/main" uri="{B025F937-C7B1-47D3-B67F-A62EFF666E3E}">
          <x14:id>{C24776F0-DB09-4356-B710-6A9C6E7CB1C0}</x14:id>
        </ext>
      </extLst>
    </cfRule>
    <cfRule type="top10" dxfId="241" priority="2346" percent="1" rank="50"/>
    <cfRule type="colorScale" priority="2345">
      <colorScale>
        <cfvo type="min"/>
        <cfvo type="percentile" val="50"/>
        <cfvo type="max"/>
        <color rgb="FFF8696B"/>
        <color rgb="FFFFEB84"/>
        <color rgb="FF63BE7B"/>
      </colorScale>
    </cfRule>
    <cfRule type="colorScale" priority="2344">
      <colorScale>
        <cfvo type="min"/>
        <cfvo type="max"/>
        <color rgb="FFFF7128"/>
        <color rgb="FFFFEF9C"/>
      </colorScale>
    </cfRule>
  </conditionalFormatting>
  <conditionalFormatting sqref="N8">
    <cfRule type="colorScale" priority="965">
      <colorScale>
        <cfvo type="percent" val="50"/>
        <cfvo type="max"/>
        <color rgb="FFFF7128"/>
        <color rgb="FFFFEF9C"/>
      </colorScale>
    </cfRule>
    <cfRule type="iconSet" priority="954">
      <iconSet iconSet="4Rating">
        <cfvo type="percent" val="0"/>
        <cfvo type="percent" val="25"/>
        <cfvo type="percent" val="50"/>
        <cfvo type="percent" val="75"/>
      </iconSet>
    </cfRule>
    <cfRule type="iconSet" priority="955">
      <iconSet iconSet="3Arrows">
        <cfvo type="percent" val="0"/>
        <cfvo type="percent" val="33"/>
        <cfvo type="percent" val="67"/>
      </iconSet>
    </cfRule>
    <cfRule type="colorScale" priority="956">
      <colorScale>
        <cfvo type="min"/>
        <cfvo type="percentile" val="50"/>
        <cfvo type="max"/>
        <color rgb="FFF8696B"/>
        <color rgb="FFFCFCFF"/>
        <color rgb="FF5A8AC6"/>
      </colorScale>
    </cfRule>
    <cfRule type="colorScale" priority="957">
      <colorScale>
        <cfvo type="min"/>
        <cfvo type="max"/>
        <color rgb="FFFF7128"/>
        <color rgb="FFFFEF9C"/>
      </colorScale>
    </cfRule>
    <cfRule type="colorScale" priority="958">
      <colorScale>
        <cfvo type="min"/>
        <cfvo type="percentile" val="50"/>
        <cfvo type="max"/>
        <color rgb="FFF8696B"/>
        <color rgb="FFFFEB84"/>
        <color rgb="FF63BE7B"/>
      </colorScale>
    </cfRule>
    <cfRule type="top10" dxfId="240" priority="959" percent="1" rank="50"/>
    <cfRule type="dataBar" priority="960">
      <dataBar>
        <cfvo type="percent" val="0.5"/>
        <cfvo type="max"/>
        <color rgb="FF638EC6"/>
      </dataBar>
      <extLst>
        <ext xmlns:x14="http://schemas.microsoft.com/office/spreadsheetml/2009/9/main" uri="{B025F937-C7B1-47D3-B67F-A62EFF666E3E}">
          <x14:id>{FC989F15-ED88-49C2-8D09-87BF1D091DFC}</x14:id>
        </ext>
      </extLst>
    </cfRule>
    <cfRule type="colorScale" priority="961">
      <colorScale>
        <cfvo type="min"/>
        <cfvo type="max"/>
        <color rgb="FFFF7128"/>
        <color rgb="FFFFEF9C"/>
      </colorScale>
    </cfRule>
    <cfRule type="top10" dxfId="239" priority="962" rank="50"/>
    <cfRule type="colorScale" priority="963">
      <colorScale>
        <cfvo type="percent" val="0"/>
        <cfvo type="percentile" val="50"/>
        <cfvo type="max"/>
        <color rgb="FFF8696B"/>
        <color rgb="FFFFEB84"/>
        <color rgb="FF63BE7B"/>
      </colorScale>
    </cfRule>
  </conditionalFormatting>
  <conditionalFormatting sqref="N9">
    <cfRule type="dataBar" priority="1370">
      <dataBar>
        <cfvo type="percent" val="0.5"/>
        <cfvo type="max"/>
        <color rgb="FF638EC6"/>
      </dataBar>
      <extLst>
        <ext xmlns:x14="http://schemas.microsoft.com/office/spreadsheetml/2009/9/main" uri="{B025F937-C7B1-47D3-B67F-A62EFF666E3E}">
          <x14:id>{48048CC4-4034-4863-A162-D0B2BACAADF3}</x14:id>
        </ext>
      </extLst>
    </cfRule>
    <cfRule type="colorScale" priority="1367">
      <colorScale>
        <cfvo type="min"/>
        <cfvo type="max"/>
        <color rgb="FFFF7128"/>
        <color rgb="FFFFEF9C"/>
      </colorScale>
    </cfRule>
    <cfRule type="iconSet" priority="1365">
      <iconSet iconSet="3Arrows">
        <cfvo type="percent" val="0"/>
        <cfvo type="percent" val="33"/>
        <cfvo type="percent" val="67"/>
      </iconSet>
    </cfRule>
    <cfRule type="iconSet" priority="1364">
      <iconSet iconSet="4Rating">
        <cfvo type="percent" val="0"/>
        <cfvo type="percent" val="25"/>
        <cfvo type="percent" val="50"/>
        <cfvo type="percent" val="75"/>
      </iconSet>
    </cfRule>
    <cfRule type="top10" dxfId="238" priority="1372" rank="50"/>
    <cfRule type="colorScale" priority="1368">
      <colorScale>
        <cfvo type="min"/>
        <cfvo type="percentile" val="50"/>
        <cfvo type="max"/>
        <color rgb="FFF8696B"/>
        <color rgb="FFFFEB84"/>
        <color rgb="FF63BE7B"/>
      </colorScale>
    </cfRule>
    <cfRule type="top10" dxfId="237" priority="1369" percent="1" rank="50"/>
    <cfRule type="colorScale" priority="1371">
      <colorScale>
        <cfvo type="min"/>
        <cfvo type="max"/>
        <color rgb="FFFF7128"/>
        <color rgb="FFFFEF9C"/>
      </colorScale>
    </cfRule>
    <cfRule type="colorScale" priority="1373">
      <colorScale>
        <cfvo type="percent" val="0"/>
        <cfvo type="percentile" val="50"/>
        <cfvo type="max"/>
        <color rgb="FFF8696B"/>
        <color rgb="FFFFEB84"/>
        <color rgb="FF63BE7B"/>
      </colorScale>
    </cfRule>
    <cfRule type="colorScale" priority="1375">
      <colorScale>
        <cfvo type="percent" val="50"/>
        <cfvo type="max"/>
        <color rgb="FFFF7128"/>
        <color rgb="FFFFEF9C"/>
      </colorScale>
    </cfRule>
    <cfRule type="colorScale" priority="1366">
      <colorScale>
        <cfvo type="min"/>
        <cfvo type="percentile" val="50"/>
        <cfvo type="max"/>
        <color rgb="FFF8696B"/>
        <color rgb="FFFCFCFF"/>
        <color rgb="FF5A8AC6"/>
      </colorScale>
    </cfRule>
  </conditionalFormatting>
  <conditionalFormatting sqref="N10">
    <cfRule type="colorScale" priority="2440">
      <colorScale>
        <cfvo type="min"/>
        <cfvo type="max"/>
        <color rgb="FFFF7128"/>
        <color rgb="FFFFEF9C"/>
      </colorScale>
    </cfRule>
    <cfRule type="colorScale" priority="2442">
      <colorScale>
        <cfvo type="percent" val="0"/>
        <cfvo type="percentile" val="50"/>
        <cfvo type="max"/>
        <color rgb="FFF8696B"/>
        <color rgb="FFFFEB84"/>
        <color rgb="FF63BE7B"/>
      </colorScale>
    </cfRule>
    <cfRule type="colorScale" priority="2444">
      <colorScale>
        <cfvo type="percent" val="50"/>
        <cfvo type="max"/>
        <color rgb="FFFF7128"/>
        <color rgb="FFFFEF9C"/>
      </colorScale>
    </cfRule>
    <cfRule type="iconSet" priority="2434">
      <iconSet iconSet="3Arrows">
        <cfvo type="percent" val="0"/>
        <cfvo type="percent" val="33"/>
        <cfvo type="percent" val="67"/>
      </iconSet>
    </cfRule>
    <cfRule type="colorScale" priority="2435">
      <colorScale>
        <cfvo type="min"/>
        <cfvo type="percentile" val="50"/>
        <cfvo type="max"/>
        <color rgb="FFF8696B"/>
        <color rgb="FFFCFCFF"/>
        <color rgb="FF5A8AC6"/>
      </colorScale>
    </cfRule>
    <cfRule type="colorScale" priority="2436">
      <colorScale>
        <cfvo type="min"/>
        <cfvo type="max"/>
        <color rgb="FFFF7128"/>
        <color rgb="FFFFEF9C"/>
      </colorScale>
    </cfRule>
    <cfRule type="iconSet" priority="2433">
      <iconSet iconSet="4Rating">
        <cfvo type="percent" val="0"/>
        <cfvo type="percent" val="25"/>
        <cfvo type="percent" val="50"/>
        <cfvo type="percent" val="75"/>
      </iconSet>
    </cfRule>
    <cfRule type="colorScale" priority="2437">
      <colorScale>
        <cfvo type="min"/>
        <cfvo type="percentile" val="50"/>
        <cfvo type="max"/>
        <color rgb="FFF8696B"/>
        <color rgb="FFFFEB84"/>
        <color rgb="FF63BE7B"/>
      </colorScale>
    </cfRule>
    <cfRule type="top10" dxfId="236" priority="2438" percent="1" rank="50"/>
    <cfRule type="dataBar" priority="2439">
      <dataBar>
        <cfvo type="percent" val="0.5"/>
        <cfvo type="max"/>
        <color rgb="FF638EC6"/>
      </dataBar>
      <extLst>
        <ext xmlns:x14="http://schemas.microsoft.com/office/spreadsheetml/2009/9/main" uri="{B025F937-C7B1-47D3-B67F-A62EFF666E3E}">
          <x14:id>{FEAE9516-B296-4D22-BB75-48F682CD5DC0}</x14:id>
        </ext>
      </extLst>
    </cfRule>
    <cfRule type="top10" dxfId="235" priority="2441" rank="50"/>
  </conditionalFormatting>
  <conditionalFormatting sqref="N11">
    <cfRule type="top10" dxfId="234" priority="1249" percent="1" rank="50"/>
    <cfRule type="iconSet" priority="1245">
      <iconSet iconSet="3Arrows">
        <cfvo type="percent" val="0"/>
        <cfvo type="percent" val="33"/>
        <cfvo type="percent" val="67"/>
      </iconSet>
    </cfRule>
    <cfRule type="colorScale" priority="1246">
      <colorScale>
        <cfvo type="min"/>
        <cfvo type="percentile" val="50"/>
        <cfvo type="max"/>
        <color rgb="FFF8696B"/>
        <color rgb="FFFCFCFF"/>
        <color rgb="FF5A8AC6"/>
      </colorScale>
    </cfRule>
    <cfRule type="colorScale" priority="1247">
      <colorScale>
        <cfvo type="min"/>
        <cfvo type="max"/>
        <color rgb="FFFF7128"/>
        <color rgb="FFFFEF9C"/>
      </colorScale>
    </cfRule>
    <cfRule type="colorScale" priority="1248">
      <colorScale>
        <cfvo type="min"/>
        <cfvo type="percentile" val="50"/>
        <cfvo type="max"/>
        <color rgb="FFF8696B"/>
        <color rgb="FFFFEB84"/>
        <color rgb="FF63BE7B"/>
      </colorScale>
    </cfRule>
    <cfRule type="dataBar" priority="1250">
      <dataBar>
        <cfvo type="percent" val="0.5"/>
        <cfvo type="max"/>
        <color rgb="FF638EC6"/>
      </dataBar>
      <extLst>
        <ext xmlns:x14="http://schemas.microsoft.com/office/spreadsheetml/2009/9/main" uri="{B025F937-C7B1-47D3-B67F-A62EFF666E3E}">
          <x14:id>{67095F58-1A23-4971-90C2-1F8342BB4B69}</x14:id>
        </ext>
      </extLst>
    </cfRule>
    <cfRule type="colorScale" priority="1251">
      <colorScale>
        <cfvo type="min"/>
        <cfvo type="max"/>
        <color rgb="FFFF7128"/>
        <color rgb="FFFFEF9C"/>
      </colorScale>
    </cfRule>
    <cfRule type="top10" dxfId="233" priority="1252" rank="50"/>
    <cfRule type="colorScale" priority="1253">
      <colorScale>
        <cfvo type="percent" val="0"/>
        <cfvo type="percentile" val="50"/>
        <cfvo type="max"/>
        <color rgb="FFF8696B"/>
        <color rgb="FFFFEB84"/>
        <color rgb="FF63BE7B"/>
      </colorScale>
    </cfRule>
    <cfRule type="colorScale" priority="1255">
      <colorScale>
        <cfvo type="percent" val="50"/>
        <cfvo type="max"/>
        <color rgb="FFFF7128"/>
        <color rgb="FFFFEF9C"/>
      </colorScale>
    </cfRule>
    <cfRule type="iconSet" priority="1244">
      <iconSet iconSet="4Rating">
        <cfvo type="percent" val="0"/>
        <cfvo type="percent" val="25"/>
        <cfvo type="percent" val="50"/>
        <cfvo type="percent" val="75"/>
      </iconSet>
    </cfRule>
  </conditionalFormatting>
  <conditionalFormatting sqref="N12">
    <cfRule type="iconSet" priority="2044">
      <iconSet iconSet="3Arrows">
        <cfvo type="percent" val="0"/>
        <cfvo type="percent" val="33"/>
        <cfvo type="percent" val="67"/>
      </iconSet>
    </cfRule>
    <cfRule type="colorScale" priority="2045">
      <colorScale>
        <cfvo type="min"/>
        <cfvo type="percentile" val="50"/>
        <cfvo type="max"/>
        <color rgb="FFF8696B"/>
        <color rgb="FFFCFCFF"/>
        <color rgb="FF5A8AC6"/>
      </colorScale>
    </cfRule>
    <cfRule type="colorScale" priority="2046">
      <colorScale>
        <cfvo type="min"/>
        <cfvo type="max"/>
        <color rgb="FFFF7128"/>
        <color rgb="FFFFEF9C"/>
      </colorScale>
    </cfRule>
    <cfRule type="colorScale" priority="2047">
      <colorScale>
        <cfvo type="min"/>
        <cfvo type="percentile" val="50"/>
        <cfvo type="max"/>
        <color rgb="FFF8696B"/>
        <color rgb="FFFFEB84"/>
        <color rgb="FF63BE7B"/>
      </colorScale>
    </cfRule>
    <cfRule type="top10" dxfId="232" priority="2048" percent="1" rank="50"/>
    <cfRule type="colorScale" priority="2050">
      <colorScale>
        <cfvo type="min"/>
        <cfvo type="max"/>
        <color rgb="FFFF7128"/>
        <color rgb="FFFFEF9C"/>
      </colorScale>
    </cfRule>
    <cfRule type="colorScale" priority="2052">
      <colorScale>
        <cfvo type="percent" val="0"/>
        <cfvo type="percentile" val="50"/>
        <cfvo type="max"/>
        <color rgb="FFF8696B"/>
        <color rgb="FFFFEB84"/>
        <color rgb="FF63BE7B"/>
      </colorScale>
    </cfRule>
    <cfRule type="colorScale" priority="2054">
      <colorScale>
        <cfvo type="percent" val="50"/>
        <cfvo type="max"/>
        <color rgb="FFFF7128"/>
        <color rgb="FFFFEF9C"/>
      </colorScale>
    </cfRule>
    <cfRule type="top10" dxfId="231" priority="2051" rank="50"/>
    <cfRule type="dataBar" priority="2049">
      <dataBar>
        <cfvo type="percent" val="0.5"/>
        <cfvo type="max"/>
        <color rgb="FF638EC6"/>
      </dataBar>
      <extLst>
        <ext xmlns:x14="http://schemas.microsoft.com/office/spreadsheetml/2009/9/main" uri="{B025F937-C7B1-47D3-B67F-A62EFF666E3E}">
          <x14:id>{9333AA1F-EC7E-4ADB-87CE-EFAE7CCF1C7A}</x14:id>
        </ext>
      </extLst>
    </cfRule>
    <cfRule type="iconSet" priority="2043">
      <iconSet iconSet="4Rating">
        <cfvo type="percent" val="0"/>
        <cfvo type="percent" val="25"/>
        <cfvo type="percent" val="50"/>
        <cfvo type="percent" val="75"/>
      </iconSet>
    </cfRule>
  </conditionalFormatting>
  <conditionalFormatting sqref="N13">
    <cfRule type="colorScale" priority="2572">
      <colorScale>
        <cfvo type="min"/>
        <cfvo type="max"/>
        <color rgb="FFFF7128"/>
        <color rgb="FFFFEF9C"/>
      </colorScale>
    </cfRule>
    <cfRule type="cellIs" dxfId="230" priority="2568" operator="equal">
      <formula>5</formula>
    </cfRule>
    <cfRule type="iconSet" priority="2570">
      <iconSet iconSet="4Rating">
        <cfvo type="percent" val="0"/>
        <cfvo type="percent" val="25"/>
        <cfvo type="percent" val="50"/>
        <cfvo type="percent" val="75"/>
      </iconSet>
    </cfRule>
    <cfRule type="iconSet" priority="2571">
      <iconSet iconSet="3Arrows">
        <cfvo type="percent" val="0"/>
        <cfvo type="percent" val="33"/>
        <cfvo type="percent" val="67"/>
      </iconSet>
    </cfRule>
    <cfRule type="colorScale" priority="2567">
      <colorScale>
        <cfvo type="min"/>
        <cfvo type="percentile" val="50"/>
        <cfvo type="max"/>
        <color rgb="FF63BE7B"/>
        <color rgb="FFFFEB84"/>
        <color rgb="FFF8696B"/>
      </colorScale>
    </cfRule>
    <cfRule type="colorScale" priority="2573">
      <colorScale>
        <cfvo type="min"/>
        <cfvo type="percentile" val="50"/>
        <cfvo type="max"/>
        <color rgb="FFF8696B"/>
        <color rgb="FFFFEB84"/>
        <color rgb="FF63BE7B"/>
      </colorScale>
    </cfRule>
    <cfRule type="top10" dxfId="229" priority="2574" percent="1" rank="50"/>
    <cfRule type="dataBar" priority="2575">
      <dataBar>
        <cfvo type="percent" val="0.5"/>
        <cfvo type="max"/>
        <color rgb="FF638EC6"/>
      </dataBar>
      <extLst>
        <ext xmlns:x14="http://schemas.microsoft.com/office/spreadsheetml/2009/9/main" uri="{B025F937-C7B1-47D3-B67F-A62EFF666E3E}">
          <x14:id>{6A788988-54E1-4FF9-86B4-5BAF20E824F0}</x14:id>
        </ext>
      </extLst>
    </cfRule>
    <cfRule type="colorScale" priority="2576">
      <colorScale>
        <cfvo type="min"/>
        <cfvo type="max"/>
        <color rgb="FFFF7128"/>
        <color rgb="FFFFEF9C"/>
      </colorScale>
    </cfRule>
    <cfRule type="top10" dxfId="228" priority="2577" rank="50"/>
    <cfRule type="colorScale" priority="2578">
      <colorScale>
        <cfvo type="percent" val="0"/>
        <cfvo type="percentile" val="50"/>
        <cfvo type="max"/>
        <color rgb="FFF8696B"/>
        <color rgb="FFFFEB84"/>
        <color rgb="FF63BE7B"/>
      </colorScale>
    </cfRule>
    <cfRule type="colorScale" priority="2580">
      <colorScale>
        <cfvo type="percent" val="50"/>
        <cfvo type="max"/>
        <color rgb="FFFF7128"/>
        <color rgb="FFFFEF9C"/>
      </colorScale>
    </cfRule>
    <cfRule type="cellIs" dxfId="227" priority="2569" operator="greaterThan">
      <formula>0.5</formula>
    </cfRule>
  </conditionalFormatting>
  <conditionalFormatting sqref="N14">
    <cfRule type="colorScale" priority="2293">
      <colorScale>
        <cfvo type="percent" val="0"/>
        <cfvo type="percentile" val="50"/>
        <cfvo type="max"/>
        <color rgb="FFF8696B"/>
        <color rgb="FFFFEB84"/>
        <color rgb="FF63BE7B"/>
      </colorScale>
    </cfRule>
    <cfRule type="colorScale" priority="2295">
      <colorScale>
        <cfvo type="percent" val="50"/>
        <cfvo type="max"/>
        <color rgb="FFFF7128"/>
        <color rgb="FFFFEF9C"/>
      </colorScale>
    </cfRule>
    <cfRule type="iconSet" priority="2284">
      <iconSet iconSet="4Rating">
        <cfvo type="percent" val="0"/>
        <cfvo type="percent" val="25"/>
        <cfvo type="percent" val="50"/>
        <cfvo type="percent" val="75"/>
      </iconSet>
    </cfRule>
    <cfRule type="iconSet" priority="2285">
      <iconSet iconSet="3Arrows">
        <cfvo type="percent" val="0"/>
        <cfvo type="percent" val="33"/>
        <cfvo type="percent" val="67"/>
      </iconSet>
    </cfRule>
    <cfRule type="colorScale" priority="2286">
      <colorScale>
        <cfvo type="min"/>
        <cfvo type="percentile" val="50"/>
        <cfvo type="max"/>
        <color rgb="FFF8696B"/>
        <color rgb="FFFCFCFF"/>
        <color rgb="FF5A8AC6"/>
      </colorScale>
    </cfRule>
    <cfRule type="colorScale" priority="2287">
      <colorScale>
        <cfvo type="min"/>
        <cfvo type="max"/>
        <color rgb="FFFF7128"/>
        <color rgb="FFFFEF9C"/>
      </colorScale>
    </cfRule>
    <cfRule type="colorScale" priority="2288">
      <colorScale>
        <cfvo type="min"/>
        <cfvo type="percentile" val="50"/>
        <cfvo type="max"/>
        <color rgb="FFF8696B"/>
        <color rgb="FFFFEB84"/>
        <color rgb="FF63BE7B"/>
      </colorScale>
    </cfRule>
    <cfRule type="top10" dxfId="226" priority="2289" percent="1" rank="50"/>
    <cfRule type="dataBar" priority="2290">
      <dataBar>
        <cfvo type="percent" val="0.5"/>
        <cfvo type="max"/>
        <color rgb="FF638EC6"/>
      </dataBar>
      <extLst>
        <ext xmlns:x14="http://schemas.microsoft.com/office/spreadsheetml/2009/9/main" uri="{B025F937-C7B1-47D3-B67F-A62EFF666E3E}">
          <x14:id>{91EFE563-FA7F-4117-8D4B-4E7E27DD5F67}</x14:id>
        </ext>
      </extLst>
    </cfRule>
    <cfRule type="colorScale" priority="2291">
      <colorScale>
        <cfvo type="min"/>
        <cfvo type="max"/>
        <color rgb="FFFF7128"/>
        <color rgb="FFFFEF9C"/>
      </colorScale>
    </cfRule>
    <cfRule type="top10" dxfId="225" priority="2292" rank="50"/>
  </conditionalFormatting>
  <conditionalFormatting sqref="N15">
    <cfRule type="colorScale" priority="889">
      <colorScale>
        <cfvo type="min"/>
        <cfvo type="percentile" val="50"/>
        <cfvo type="max"/>
        <color rgb="FFF8696B"/>
        <color rgb="FFFFEB84"/>
        <color rgb="FF63BE7B"/>
      </colorScale>
    </cfRule>
    <cfRule type="top10" dxfId="224" priority="890" percent="1" rank="50"/>
    <cfRule type="dataBar" priority="891">
      <dataBar>
        <cfvo type="percent" val="0.5"/>
        <cfvo type="max"/>
        <color rgb="FF638EC6"/>
      </dataBar>
      <extLst>
        <ext xmlns:x14="http://schemas.microsoft.com/office/spreadsheetml/2009/9/main" uri="{B025F937-C7B1-47D3-B67F-A62EFF666E3E}">
          <x14:id>{4145F475-2B76-4D92-8C7B-8F1D11E0DB3F}</x14:id>
        </ext>
      </extLst>
    </cfRule>
    <cfRule type="colorScale" priority="892">
      <colorScale>
        <cfvo type="min"/>
        <cfvo type="max"/>
        <color rgb="FFFF7128"/>
        <color rgb="FFFFEF9C"/>
      </colorScale>
    </cfRule>
    <cfRule type="colorScale" priority="894">
      <colorScale>
        <cfvo type="percent" val="0"/>
        <cfvo type="percentile" val="50"/>
        <cfvo type="max"/>
        <color rgb="FFF8696B"/>
        <color rgb="FFFFEB84"/>
        <color rgb="FF63BE7B"/>
      </colorScale>
    </cfRule>
    <cfRule type="colorScale" priority="895">
      <colorScale>
        <cfvo type="percent" val="50"/>
        <cfvo type="max"/>
        <color rgb="FFFF7128"/>
        <color rgb="FFFFEF9C"/>
      </colorScale>
    </cfRule>
    <cfRule type="iconSet" priority="885">
      <iconSet iconSet="4Rating">
        <cfvo type="percent" val="0"/>
        <cfvo type="percent" val="25"/>
        <cfvo type="percent" val="50"/>
        <cfvo type="percent" val="75"/>
      </iconSet>
    </cfRule>
    <cfRule type="colorScale" priority="888">
      <colorScale>
        <cfvo type="min"/>
        <cfvo type="max"/>
        <color rgb="FFFF7128"/>
        <color rgb="FFFFEF9C"/>
      </colorScale>
    </cfRule>
    <cfRule type="colorScale" priority="887">
      <colorScale>
        <cfvo type="min"/>
        <cfvo type="percentile" val="50"/>
        <cfvo type="max"/>
        <color rgb="FFF8696B"/>
        <color rgb="FFFCFCFF"/>
        <color rgb="FF5A8AC6"/>
      </colorScale>
    </cfRule>
    <cfRule type="iconSet" priority="886">
      <iconSet iconSet="3Arrows">
        <cfvo type="percent" val="0"/>
        <cfvo type="percent" val="33"/>
        <cfvo type="percent" val="67"/>
      </iconSet>
    </cfRule>
    <cfRule type="top10" dxfId="223" priority="893" rank="50"/>
  </conditionalFormatting>
  <conditionalFormatting sqref="N16">
    <cfRule type="colorScale" priority="588">
      <colorScale>
        <cfvo type="min"/>
        <cfvo type="max"/>
        <color rgb="FFFF7128"/>
        <color rgb="FFFFEF9C"/>
      </colorScale>
    </cfRule>
    <cfRule type="colorScale" priority="594">
      <colorScale>
        <cfvo type="percent" val="0"/>
        <cfvo type="percentile" val="50"/>
        <cfvo type="max"/>
        <color rgb="FFF8696B"/>
        <color rgb="FFFFEB84"/>
        <color rgb="FF63BE7B"/>
      </colorScale>
    </cfRule>
    <cfRule type="cellIs" priority="582" operator="between">
      <formula>0.5</formula>
      <formula>1</formula>
    </cfRule>
    <cfRule type="iconSet" priority="585">
      <iconSet iconSet="4Rating">
        <cfvo type="percent" val="0"/>
        <cfvo type="percent" val="25"/>
        <cfvo type="percent" val="50"/>
        <cfvo type="percent" val="75"/>
      </iconSet>
    </cfRule>
    <cfRule type="iconSet" priority="586">
      <iconSet iconSet="3Arrows">
        <cfvo type="percent" val="0"/>
        <cfvo type="percent" val="33"/>
        <cfvo type="percent" val="67"/>
      </iconSet>
    </cfRule>
    <cfRule type="colorScale" priority="587">
      <colorScale>
        <cfvo type="min"/>
        <cfvo type="percentile" val="50"/>
        <cfvo type="max"/>
        <color rgb="FFF8696B"/>
        <color rgb="FFFCFCFF"/>
        <color rgb="FF5A8AC6"/>
      </colorScale>
    </cfRule>
    <cfRule type="colorScale" priority="589">
      <colorScale>
        <cfvo type="min"/>
        <cfvo type="percentile" val="50"/>
        <cfvo type="max"/>
        <color rgb="FFF8696B"/>
        <color rgb="FFFFEB84"/>
        <color rgb="FF63BE7B"/>
      </colorScale>
    </cfRule>
    <cfRule type="top10" dxfId="222" priority="590" percent="1" rank="50"/>
    <cfRule type="dataBar" priority="591">
      <dataBar>
        <cfvo type="percent" val="0.5"/>
        <cfvo type="max"/>
        <color rgb="FF638EC6"/>
      </dataBar>
      <extLst>
        <ext xmlns:x14="http://schemas.microsoft.com/office/spreadsheetml/2009/9/main" uri="{B025F937-C7B1-47D3-B67F-A62EFF666E3E}">
          <x14:id>{4B8851EA-DBF8-4178-B12B-079B5B308BE9}</x14:id>
        </ext>
      </extLst>
    </cfRule>
    <cfRule type="colorScale" priority="592">
      <colorScale>
        <cfvo type="min"/>
        <cfvo type="max"/>
        <color rgb="FFFF7128"/>
        <color rgb="FFFFEF9C"/>
      </colorScale>
    </cfRule>
    <cfRule type="top10" dxfId="221" priority="593" rank="50"/>
    <cfRule type="colorScale" priority="595">
      <colorScale>
        <cfvo type="percent" val="50"/>
        <cfvo type="max"/>
        <color rgb="FFFF7128"/>
        <color rgb="FFFFEF9C"/>
      </colorScale>
    </cfRule>
  </conditionalFormatting>
  <conditionalFormatting sqref="N17">
    <cfRule type="colorScale" priority="570">
      <colorScale>
        <cfvo type="min"/>
        <cfvo type="percentile" val="50"/>
        <cfvo type="max"/>
        <color rgb="FFF8696B"/>
        <color rgb="FFFFEB84"/>
        <color rgb="FF63BE7B"/>
      </colorScale>
    </cfRule>
    <cfRule type="iconSet" priority="566">
      <iconSet iconSet="4Rating">
        <cfvo type="percent" val="0"/>
        <cfvo type="percent" val="25"/>
        <cfvo type="percent" val="50"/>
        <cfvo type="percent" val="75"/>
      </iconSet>
    </cfRule>
    <cfRule type="iconSet" priority="567">
      <iconSet iconSet="3Arrows">
        <cfvo type="percent" val="0"/>
        <cfvo type="percent" val="33"/>
        <cfvo type="percent" val="67"/>
      </iconSet>
    </cfRule>
    <cfRule type="colorScale" priority="568">
      <colorScale>
        <cfvo type="min"/>
        <cfvo type="percentile" val="50"/>
        <cfvo type="max"/>
        <color rgb="FFF8696B"/>
        <color rgb="FFFCFCFF"/>
        <color rgb="FF5A8AC6"/>
      </colorScale>
    </cfRule>
    <cfRule type="colorScale" priority="569">
      <colorScale>
        <cfvo type="min"/>
        <cfvo type="max"/>
        <color rgb="FFFF7128"/>
        <color rgb="FFFFEF9C"/>
      </colorScale>
    </cfRule>
    <cfRule type="colorScale" priority="576">
      <colorScale>
        <cfvo type="percent" val="50"/>
        <cfvo type="max"/>
        <color rgb="FFFF7128"/>
        <color rgb="FFFFEF9C"/>
      </colorScale>
    </cfRule>
    <cfRule type="colorScale" priority="575">
      <colorScale>
        <cfvo type="percent" val="0"/>
        <cfvo type="percentile" val="50"/>
        <cfvo type="max"/>
        <color rgb="FFF8696B"/>
        <color rgb="FFFFEB84"/>
        <color rgb="FF63BE7B"/>
      </colorScale>
    </cfRule>
    <cfRule type="top10" dxfId="220" priority="574" rank="50"/>
    <cfRule type="colorScale" priority="573">
      <colorScale>
        <cfvo type="min"/>
        <cfvo type="max"/>
        <color rgb="FFFF7128"/>
        <color rgb="FFFFEF9C"/>
      </colorScale>
    </cfRule>
    <cfRule type="dataBar" priority="572">
      <dataBar>
        <cfvo type="percent" val="0.5"/>
        <cfvo type="max"/>
        <color rgb="FF638EC6"/>
      </dataBar>
      <extLst>
        <ext xmlns:x14="http://schemas.microsoft.com/office/spreadsheetml/2009/9/main" uri="{B025F937-C7B1-47D3-B67F-A62EFF666E3E}">
          <x14:id>{5FB23CE8-59EF-43DF-BF8D-7F108505837B}</x14:id>
        </ext>
      </extLst>
    </cfRule>
    <cfRule type="top10" dxfId="219" priority="571" percent="1" rank="50"/>
  </conditionalFormatting>
  <conditionalFormatting sqref="N18">
    <cfRule type="colorScale" priority="425">
      <colorScale>
        <cfvo type="min"/>
        <cfvo type="percentile" val="50"/>
        <cfvo type="max"/>
        <color rgb="FFF8696B"/>
        <color rgb="FFFCFCFF"/>
        <color rgb="FF5A8AC6"/>
      </colorScale>
    </cfRule>
    <cfRule type="colorScale" priority="426">
      <colorScale>
        <cfvo type="min"/>
        <cfvo type="max"/>
        <color rgb="FFFF7128"/>
        <color rgb="FFFFEF9C"/>
      </colorScale>
    </cfRule>
    <cfRule type="colorScale" priority="427">
      <colorScale>
        <cfvo type="min"/>
        <cfvo type="percentile" val="50"/>
        <cfvo type="max"/>
        <color rgb="FFF8696B"/>
        <color rgb="FFFFEB84"/>
        <color rgb="FF63BE7B"/>
      </colorScale>
    </cfRule>
    <cfRule type="top10" dxfId="218" priority="428" percent="1" rank="50"/>
    <cfRule type="dataBar" priority="429">
      <dataBar>
        <cfvo type="percent" val="0.5"/>
        <cfvo type="max"/>
        <color rgb="FF638EC6"/>
      </dataBar>
      <extLst>
        <ext xmlns:x14="http://schemas.microsoft.com/office/spreadsheetml/2009/9/main" uri="{B025F937-C7B1-47D3-B67F-A62EFF666E3E}">
          <x14:id>{700F26FE-5EAB-D54A-82E5-B7249BEEF52A}</x14:id>
        </ext>
      </extLst>
    </cfRule>
    <cfRule type="iconSet" priority="424">
      <iconSet iconSet="3Arrows">
        <cfvo type="percent" val="0"/>
        <cfvo type="percent" val="33"/>
        <cfvo type="percent" val="67"/>
      </iconSet>
    </cfRule>
    <cfRule type="colorScale" priority="430">
      <colorScale>
        <cfvo type="min"/>
        <cfvo type="max"/>
        <color rgb="FFFF7128"/>
        <color rgb="FFFFEF9C"/>
      </colorScale>
    </cfRule>
    <cfRule type="top10" dxfId="217" priority="431" rank="50"/>
    <cfRule type="iconSet" priority="423">
      <iconSet iconSet="4Rating">
        <cfvo type="percent" val="0"/>
        <cfvo type="percent" val="25"/>
        <cfvo type="percent" val="50"/>
        <cfvo type="percent" val="75"/>
      </iconSet>
    </cfRule>
    <cfRule type="colorScale" priority="432">
      <colorScale>
        <cfvo type="percent" val="0"/>
        <cfvo type="percentile" val="50"/>
        <cfvo type="max"/>
        <color rgb="FFF8696B"/>
        <color rgb="FFFFEB84"/>
        <color rgb="FF63BE7B"/>
      </colorScale>
    </cfRule>
    <cfRule type="colorScale" priority="433">
      <colorScale>
        <cfvo type="percent" val="50"/>
        <cfvo type="max"/>
        <color rgb="FFFF7128"/>
        <color rgb="FFFFEF9C"/>
      </colorScale>
    </cfRule>
  </conditionalFormatting>
  <conditionalFormatting sqref="N19">
    <cfRule type="colorScale" priority="260">
      <colorScale>
        <cfvo type="percent" val="50"/>
        <cfvo type="max"/>
        <color rgb="FFFF7128"/>
        <color rgb="FFFFEF9C"/>
      </colorScale>
    </cfRule>
    <cfRule type="iconSet" priority="251">
      <iconSet iconSet="3Arrows">
        <cfvo type="percent" val="0"/>
        <cfvo type="percent" val="33"/>
        <cfvo type="percent" val="67"/>
      </iconSet>
    </cfRule>
    <cfRule type="colorScale" priority="259">
      <colorScale>
        <cfvo type="percent" val="0"/>
        <cfvo type="percentile" val="50"/>
        <cfvo type="max"/>
        <color rgb="FFF8696B"/>
        <color rgb="FFFFEB84"/>
        <color rgb="FF63BE7B"/>
      </colorScale>
    </cfRule>
    <cfRule type="top10" dxfId="216" priority="258" rank="50"/>
    <cfRule type="colorScale" priority="257">
      <colorScale>
        <cfvo type="min"/>
        <cfvo type="max"/>
        <color rgb="FFFF7128"/>
        <color rgb="FFFFEF9C"/>
      </colorScale>
    </cfRule>
    <cfRule type="cellIs" priority="247" operator="between">
      <formula>0.5</formula>
      <formula>1</formula>
    </cfRule>
    <cfRule type="dataBar" priority="256">
      <dataBar>
        <cfvo type="percent" val="0.5"/>
        <cfvo type="max"/>
        <color rgb="FF638EC6"/>
      </dataBar>
      <extLst>
        <ext xmlns:x14="http://schemas.microsoft.com/office/spreadsheetml/2009/9/main" uri="{B025F937-C7B1-47D3-B67F-A62EFF666E3E}">
          <x14:id>{7096FCD6-3862-4F27-9390-823F5F59E24B}</x14:id>
        </ext>
      </extLst>
    </cfRule>
    <cfRule type="top10" dxfId="215" priority="255" percent="1" rank="50"/>
    <cfRule type="colorScale" priority="254">
      <colorScale>
        <cfvo type="min"/>
        <cfvo type="percentile" val="50"/>
        <cfvo type="max"/>
        <color rgb="FFF8696B"/>
        <color rgb="FFFFEB84"/>
        <color rgb="FF63BE7B"/>
      </colorScale>
    </cfRule>
    <cfRule type="colorScale" priority="253">
      <colorScale>
        <cfvo type="min"/>
        <cfvo type="max"/>
        <color rgb="FFFF7128"/>
        <color rgb="FFFFEF9C"/>
      </colorScale>
    </cfRule>
    <cfRule type="iconSet" priority="250">
      <iconSet iconSet="4Rating">
        <cfvo type="percent" val="0"/>
        <cfvo type="percent" val="25"/>
        <cfvo type="percent" val="50"/>
        <cfvo type="percent" val="75"/>
      </iconSet>
    </cfRule>
    <cfRule type="colorScale" priority="252">
      <colorScale>
        <cfvo type="min"/>
        <cfvo type="percentile" val="50"/>
        <cfvo type="max"/>
        <color rgb="FFF8696B"/>
        <color rgb="FFFCFCFF"/>
        <color rgb="FF5A8AC6"/>
      </colorScale>
    </cfRule>
  </conditionalFormatting>
  <conditionalFormatting sqref="N20:N26">
    <cfRule type="top10" dxfId="214" priority="239" rank="50"/>
    <cfRule type="top10" dxfId="213" priority="236" percent="1" rank="50"/>
    <cfRule type="colorScale" priority="240">
      <colorScale>
        <cfvo type="percent" val="0"/>
        <cfvo type="percentile" val="50"/>
        <cfvo type="max"/>
        <color rgb="FFF8696B"/>
        <color rgb="FFFFEB84"/>
        <color rgb="FF63BE7B"/>
      </colorScale>
    </cfRule>
    <cfRule type="colorScale" priority="241">
      <colorScale>
        <cfvo type="percent" val="50"/>
        <cfvo type="max"/>
        <color rgb="FFFF7128"/>
        <color rgb="FFFFEF9C"/>
      </colorScale>
    </cfRule>
    <cfRule type="dataBar" priority="237">
      <dataBar>
        <cfvo type="percent" val="0.5"/>
        <cfvo type="max"/>
        <color rgb="FF638EC6"/>
      </dataBar>
      <extLst>
        <ext xmlns:x14="http://schemas.microsoft.com/office/spreadsheetml/2009/9/main" uri="{B025F937-C7B1-47D3-B67F-A62EFF666E3E}">
          <x14:id>{955C0372-6F0F-8346-96B7-46A5A2E694FE}</x14:id>
        </ext>
      </extLst>
    </cfRule>
    <cfRule type="colorScale" priority="235">
      <colorScale>
        <cfvo type="min"/>
        <cfvo type="percentile" val="50"/>
        <cfvo type="max"/>
        <color rgb="FFF8696B"/>
        <color rgb="FFFFEB84"/>
        <color rgb="FF63BE7B"/>
      </colorScale>
    </cfRule>
    <cfRule type="iconSet" priority="231">
      <iconSet iconSet="4Rating">
        <cfvo type="percent" val="0"/>
        <cfvo type="percent" val="25"/>
        <cfvo type="percent" val="50"/>
        <cfvo type="percent" val="75"/>
      </iconSet>
    </cfRule>
    <cfRule type="iconSet" priority="232">
      <iconSet iconSet="3Arrows">
        <cfvo type="percent" val="0"/>
        <cfvo type="percent" val="33"/>
        <cfvo type="percent" val="67"/>
      </iconSet>
    </cfRule>
    <cfRule type="colorScale" priority="233">
      <colorScale>
        <cfvo type="min"/>
        <cfvo type="percentile" val="50"/>
        <cfvo type="max"/>
        <color rgb="FFF8696B"/>
        <color rgb="FFFCFCFF"/>
        <color rgb="FF5A8AC6"/>
      </colorScale>
    </cfRule>
    <cfRule type="colorScale" priority="238">
      <colorScale>
        <cfvo type="min"/>
        <cfvo type="max"/>
        <color rgb="FFFF7128"/>
        <color rgb="FFFFEF9C"/>
      </colorScale>
    </cfRule>
    <cfRule type="colorScale" priority="234">
      <colorScale>
        <cfvo type="min"/>
        <cfvo type="max"/>
        <color rgb="FFFF7128"/>
        <color rgb="FFFFEF9C"/>
      </colorScale>
    </cfRule>
  </conditionalFormatting>
  <conditionalFormatting sqref="R6">
    <cfRule type="top10" dxfId="212" priority="1084" rank="4"/>
    <cfRule type="cellIs" dxfId="211" priority="1085" operator="equal">
      <formula>5</formula>
    </cfRule>
  </conditionalFormatting>
  <conditionalFormatting sqref="R6:R14">
    <cfRule type="cellIs" dxfId="210" priority="900" operator="lessThan">
      <formula>5</formula>
    </cfRule>
  </conditionalFormatting>
  <conditionalFormatting sqref="R6:R26 T6:T26 I6:I26 K6:K26">
    <cfRule type="cellIs" dxfId="209" priority="198" operator="equal">
      <formula>5</formula>
    </cfRule>
  </conditionalFormatting>
  <conditionalFormatting sqref="R7">
    <cfRule type="cellIs" dxfId="208" priority="1923" operator="equal">
      <formula>5</formula>
    </cfRule>
    <cfRule type="top10" dxfId="207" priority="1922" rank="4"/>
  </conditionalFormatting>
  <conditionalFormatting sqref="R8">
    <cfRule type="top10" dxfId="206" priority="902" rank="4"/>
    <cfRule type="cellIs" dxfId="205" priority="903" operator="equal">
      <formula>5</formula>
    </cfRule>
  </conditionalFormatting>
  <conditionalFormatting sqref="R9">
    <cfRule type="cellIs" dxfId="204" priority="1313" operator="equal">
      <formula>5</formula>
    </cfRule>
    <cfRule type="top10" dxfId="203" priority="1312" rank="4"/>
  </conditionalFormatting>
  <conditionalFormatting sqref="R10">
    <cfRule type="cellIs" dxfId="202" priority="1927" operator="equal">
      <formula>5</formula>
    </cfRule>
    <cfRule type="top10" dxfId="201" priority="1926" rank="4"/>
  </conditionalFormatting>
  <conditionalFormatting sqref="R11">
    <cfRule type="top10" dxfId="200" priority="1241" rank="4"/>
    <cfRule type="cellIs" dxfId="199" priority="1242" operator="equal">
      <formula>5</formula>
    </cfRule>
  </conditionalFormatting>
  <conditionalFormatting sqref="R12">
    <cfRule type="top10" dxfId="198" priority="2632" rank="4"/>
    <cfRule type="cellIs" dxfId="197" priority="2633" operator="equal">
      <formula>5</formula>
    </cfRule>
  </conditionalFormatting>
  <conditionalFormatting sqref="R13">
    <cfRule type="cellIs" dxfId="196" priority="1931" operator="equal">
      <formula>5</formula>
    </cfRule>
    <cfRule type="top10" dxfId="195" priority="1930" rank="4"/>
  </conditionalFormatting>
  <conditionalFormatting sqref="R14">
    <cfRule type="cellIs" dxfId="194" priority="1919" operator="equal">
      <formula>5</formula>
    </cfRule>
    <cfRule type="top10" dxfId="193" priority="1918" rank="4"/>
  </conditionalFormatting>
  <conditionalFormatting sqref="R15">
    <cfRule type="cellIs" dxfId="192" priority="811" operator="equal">
      <formula>5</formula>
    </cfRule>
    <cfRule type="top10" dxfId="191" priority="810" rank="4"/>
  </conditionalFormatting>
  <conditionalFormatting sqref="R16">
    <cfRule type="top10" dxfId="190" priority="720" rank="4"/>
    <cfRule type="cellIs" dxfId="189" priority="721" operator="equal">
      <formula>5</formula>
    </cfRule>
  </conditionalFormatting>
  <conditionalFormatting sqref="R17">
    <cfRule type="top10" dxfId="188" priority="493" rank="4"/>
    <cfRule type="cellIs" dxfId="187" priority="494" operator="equal">
      <formula>5</formula>
    </cfRule>
  </conditionalFormatting>
  <conditionalFormatting sqref="R17:R26 T17:T26 I6:I14">
    <cfRule type="cellIs" dxfId="186" priority="908" operator="lessThan">
      <formula>5</formula>
    </cfRule>
  </conditionalFormatting>
  <conditionalFormatting sqref="R18">
    <cfRule type="top10" dxfId="185" priority="350" rank="4"/>
    <cfRule type="cellIs" dxfId="184" priority="351" operator="equal">
      <formula>5</formula>
    </cfRule>
  </conditionalFormatting>
  <conditionalFormatting sqref="R19">
    <cfRule type="top10" dxfId="183" priority="144" rank="4"/>
    <cfRule type="cellIs" dxfId="182" priority="145" operator="equal">
      <formula>5</formula>
    </cfRule>
  </conditionalFormatting>
  <conditionalFormatting sqref="R20:R26">
    <cfRule type="top10" dxfId="181" priority="158" rank="4"/>
    <cfRule type="cellIs" dxfId="180" priority="159" operator="equal">
      <formula>5</formula>
    </cfRule>
  </conditionalFormatting>
  <conditionalFormatting sqref="S6">
    <cfRule type="colorScale" priority="1065">
      <colorScale>
        <cfvo type="percent" val="0"/>
        <cfvo type="percentile" val="50"/>
        <cfvo type="max"/>
        <color rgb="FFF8696B"/>
        <color rgb="FFFFEB84"/>
        <color rgb="FF63BE7B"/>
      </colorScale>
    </cfRule>
    <cfRule type="colorScale" priority="1067">
      <colorScale>
        <cfvo type="percent" val="50"/>
        <cfvo type="max"/>
        <color rgb="FFFF7128"/>
        <color rgb="FFFFEF9C"/>
      </colorScale>
    </cfRule>
    <cfRule type="top10" dxfId="179" priority="1064" rank="50"/>
    <cfRule type="dataBar" priority="1062">
      <dataBar>
        <cfvo type="percent" val="0.5"/>
        <cfvo type="max"/>
        <color rgb="FF638EC6"/>
      </dataBar>
      <extLst>
        <ext xmlns:x14="http://schemas.microsoft.com/office/spreadsheetml/2009/9/main" uri="{B025F937-C7B1-47D3-B67F-A62EFF666E3E}">
          <x14:id>{090D98CB-4F88-4016-970A-82CBD62C4AE5}</x14:id>
        </ext>
      </extLst>
    </cfRule>
    <cfRule type="top10" dxfId="178" priority="1061" percent="1" rank="50"/>
    <cfRule type="colorScale" priority="1060">
      <colorScale>
        <cfvo type="min"/>
        <cfvo type="percentile" val="50"/>
        <cfvo type="max"/>
        <color rgb="FFF8696B"/>
        <color rgb="FFFFEB84"/>
        <color rgb="FF63BE7B"/>
      </colorScale>
    </cfRule>
    <cfRule type="colorScale" priority="1059">
      <colorScale>
        <cfvo type="min"/>
        <cfvo type="max"/>
        <color rgb="FFFF7128"/>
        <color rgb="FFFFEF9C"/>
      </colorScale>
    </cfRule>
    <cfRule type="iconSet" priority="1058">
      <iconSet iconSet="3Arrows">
        <cfvo type="percent" val="0"/>
        <cfvo type="percent" val="33"/>
        <cfvo type="percent" val="67"/>
      </iconSet>
    </cfRule>
    <cfRule type="iconSet" priority="1057">
      <iconSet iconSet="4Rating">
        <cfvo type="percent" val="0"/>
        <cfvo type="percent" val="25"/>
        <cfvo type="percent" val="50"/>
        <cfvo type="percent" val="75"/>
      </iconSet>
    </cfRule>
    <cfRule type="cellIs" dxfId="177" priority="1056" operator="greaterThan">
      <formula>0.5</formula>
    </cfRule>
    <cfRule type="cellIs" dxfId="176" priority="1055" operator="equal">
      <formula>5</formula>
    </cfRule>
    <cfRule type="colorScale" priority="1054">
      <colorScale>
        <cfvo type="min"/>
        <cfvo type="percentile" val="50"/>
        <cfvo type="max"/>
        <color rgb="FF63BE7B"/>
        <color rgb="FFFFEB84"/>
        <color rgb="FFF8696B"/>
      </colorScale>
    </cfRule>
    <cfRule type="colorScale" priority="1063">
      <colorScale>
        <cfvo type="min"/>
        <cfvo type="max"/>
        <color rgb="FFFF7128"/>
        <color rgb="FFFFEF9C"/>
      </colorScale>
    </cfRule>
  </conditionalFormatting>
  <conditionalFormatting sqref="S6:S14">
    <cfRule type="cellIs" priority="937" operator="between">
      <formula>0.5</formula>
      <formula>1</formula>
    </cfRule>
  </conditionalFormatting>
  <conditionalFormatting sqref="S7">
    <cfRule type="colorScale" priority="2407">
      <colorScale>
        <cfvo type="percent" val="50"/>
        <cfvo type="max"/>
        <color rgb="FFFF7128"/>
        <color rgb="FFFFEF9C"/>
      </colorScale>
    </cfRule>
    <cfRule type="cellIs" dxfId="175" priority="2395" operator="equal">
      <formula>5</formula>
    </cfRule>
    <cfRule type="cellIs" dxfId="174" priority="2396" operator="greaterThan">
      <formula>0.5</formula>
    </cfRule>
    <cfRule type="iconSet" priority="2397">
      <iconSet iconSet="4Rating">
        <cfvo type="percent" val="0"/>
        <cfvo type="percent" val="25"/>
        <cfvo type="percent" val="50"/>
        <cfvo type="percent" val="75"/>
      </iconSet>
    </cfRule>
    <cfRule type="iconSet" priority="2398">
      <iconSet iconSet="3Arrows">
        <cfvo type="percent" val="0"/>
        <cfvo type="percent" val="33"/>
        <cfvo type="percent" val="67"/>
      </iconSet>
    </cfRule>
    <cfRule type="colorScale" priority="2399">
      <colorScale>
        <cfvo type="min"/>
        <cfvo type="max"/>
        <color rgb="FFFF7128"/>
        <color rgb="FFFFEF9C"/>
      </colorScale>
    </cfRule>
    <cfRule type="colorScale" priority="2400">
      <colorScale>
        <cfvo type="min"/>
        <cfvo type="percentile" val="50"/>
        <cfvo type="max"/>
        <color rgb="FFF8696B"/>
        <color rgb="FFFFEB84"/>
        <color rgb="FF63BE7B"/>
      </colorScale>
    </cfRule>
    <cfRule type="colorScale" priority="2394">
      <colorScale>
        <cfvo type="min"/>
        <cfvo type="percentile" val="50"/>
        <cfvo type="max"/>
        <color rgb="FF63BE7B"/>
        <color rgb="FFFFEB84"/>
        <color rgb="FFF8696B"/>
      </colorScale>
    </cfRule>
    <cfRule type="top10" dxfId="173" priority="2401" percent="1" rank="50"/>
    <cfRule type="dataBar" priority="2402">
      <dataBar>
        <cfvo type="percent" val="0.5"/>
        <cfvo type="max"/>
        <color rgb="FF638EC6"/>
      </dataBar>
      <extLst>
        <ext xmlns:x14="http://schemas.microsoft.com/office/spreadsheetml/2009/9/main" uri="{B025F937-C7B1-47D3-B67F-A62EFF666E3E}">
          <x14:id>{F7EB2F08-AD24-46F9-9BD4-9199A5C55C47}</x14:id>
        </ext>
      </extLst>
    </cfRule>
    <cfRule type="colorScale" priority="2403">
      <colorScale>
        <cfvo type="min"/>
        <cfvo type="max"/>
        <color rgb="FFFF7128"/>
        <color rgb="FFFFEF9C"/>
      </colorScale>
    </cfRule>
    <cfRule type="top10" dxfId="172" priority="2404" rank="50"/>
    <cfRule type="colorScale" priority="2405">
      <colorScale>
        <cfvo type="percent" val="0"/>
        <cfvo type="percentile" val="50"/>
        <cfvo type="max"/>
        <color rgb="FFF8696B"/>
        <color rgb="FFFFEB84"/>
        <color rgb="FF63BE7B"/>
      </colorScale>
    </cfRule>
  </conditionalFormatting>
  <conditionalFormatting sqref="S8">
    <cfRule type="colorScale" priority="938">
      <colorScale>
        <cfvo type="percent" val="50"/>
        <cfvo type="max"/>
        <color rgb="FFFF7128"/>
        <color rgb="FFFFEF9C"/>
      </colorScale>
    </cfRule>
    <cfRule type="colorScale" priority="934">
      <colorScale>
        <cfvo type="min"/>
        <cfvo type="max"/>
        <color rgb="FFFF7128"/>
        <color rgb="FFFFEF9C"/>
      </colorScale>
    </cfRule>
    <cfRule type="colorScale" priority="936">
      <colorScale>
        <cfvo type="percent" val="0"/>
        <cfvo type="percentile" val="50"/>
        <cfvo type="max"/>
        <color rgb="FFF8696B"/>
        <color rgb="FFFFEB84"/>
        <color rgb="FF63BE7B"/>
      </colorScale>
    </cfRule>
    <cfRule type="dataBar" priority="933">
      <dataBar>
        <cfvo type="percent" val="0.5"/>
        <cfvo type="max"/>
        <color rgb="FF638EC6"/>
      </dataBar>
      <extLst>
        <ext xmlns:x14="http://schemas.microsoft.com/office/spreadsheetml/2009/9/main" uri="{B025F937-C7B1-47D3-B67F-A62EFF666E3E}">
          <x14:id>{F826EC3A-9799-4FB5-8E7D-421FCD950A82}</x14:id>
        </ext>
      </extLst>
    </cfRule>
    <cfRule type="top10" dxfId="171" priority="932" percent="1" rank="50"/>
    <cfRule type="colorScale" priority="931">
      <colorScale>
        <cfvo type="min"/>
        <cfvo type="percentile" val="50"/>
        <cfvo type="max"/>
        <color rgb="FFF8696B"/>
        <color rgb="FFFFEB84"/>
        <color rgb="FF63BE7B"/>
      </colorScale>
    </cfRule>
    <cfRule type="top10" dxfId="170" priority="935" rank="50"/>
    <cfRule type="colorScale" priority="930">
      <colorScale>
        <cfvo type="min"/>
        <cfvo type="max"/>
        <color rgb="FFFF7128"/>
        <color rgb="FFFFEF9C"/>
      </colorScale>
    </cfRule>
    <cfRule type="iconSet" priority="929">
      <iconSet iconSet="3Arrows">
        <cfvo type="percent" val="0"/>
        <cfvo type="percent" val="33"/>
        <cfvo type="percent" val="67"/>
      </iconSet>
    </cfRule>
    <cfRule type="iconSet" priority="928">
      <iconSet iconSet="4Rating">
        <cfvo type="percent" val="0"/>
        <cfvo type="percent" val="25"/>
        <cfvo type="percent" val="50"/>
        <cfvo type="percent" val="75"/>
      </iconSet>
    </cfRule>
    <cfRule type="cellIs" dxfId="169" priority="927" operator="greaterThan">
      <formula>0.5</formula>
    </cfRule>
    <cfRule type="cellIs" dxfId="168" priority="926" operator="equal">
      <formula>5</formula>
    </cfRule>
    <cfRule type="colorScale" priority="925">
      <colorScale>
        <cfvo type="min"/>
        <cfvo type="percentile" val="50"/>
        <cfvo type="max"/>
        <color rgb="FF63BE7B"/>
        <color rgb="FFFFEB84"/>
        <color rgb="FFF8696B"/>
      </colorScale>
    </cfRule>
  </conditionalFormatting>
  <conditionalFormatting sqref="S9">
    <cfRule type="colorScale" priority="1348">
      <colorScale>
        <cfvo type="percent" val="50"/>
        <cfvo type="max"/>
        <color rgb="FFFF7128"/>
        <color rgb="FFFFEF9C"/>
      </colorScale>
    </cfRule>
    <cfRule type="colorScale" priority="1335">
      <colorScale>
        <cfvo type="min"/>
        <cfvo type="percentile" val="50"/>
        <cfvo type="max"/>
        <color rgb="FF63BE7B"/>
        <color rgb="FFFFEB84"/>
        <color rgb="FFF8696B"/>
      </colorScale>
    </cfRule>
    <cfRule type="cellIs" dxfId="167" priority="1336" operator="equal">
      <formula>5</formula>
    </cfRule>
    <cfRule type="cellIs" dxfId="166" priority="1337" operator="greaterThan">
      <formula>0.5</formula>
    </cfRule>
    <cfRule type="iconSet" priority="1338">
      <iconSet iconSet="4Rating">
        <cfvo type="percent" val="0"/>
        <cfvo type="percent" val="25"/>
        <cfvo type="percent" val="50"/>
        <cfvo type="percent" val="75"/>
      </iconSet>
    </cfRule>
    <cfRule type="iconSet" priority="1339">
      <iconSet iconSet="3Arrows">
        <cfvo type="percent" val="0"/>
        <cfvo type="percent" val="33"/>
        <cfvo type="percent" val="67"/>
      </iconSet>
    </cfRule>
    <cfRule type="colorScale" priority="1340">
      <colorScale>
        <cfvo type="min"/>
        <cfvo type="max"/>
        <color rgb="FFFF7128"/>
        <color rgb="FFFFEF9C"/>
      </colorScale>
    </cfRule>
    <cfRule type="colorScale" priority="1341">
      <colorScale>
        <cfvo type="min"/>
        <cfvo type="percentile" val="50"/>
        <cfvo type="max"/>
        <color rgb="FFF8696B"/>
        <color rgb="FFFFEB84"/>
        <color rgb="FF63BE7B"/>
      </colorScale>
    </cfRule>
    <cfRule type="dataBar" priority="1343">
      <dataBar>
        <cfvo type="percent" val="0.5"/>
        <cfvo type="max"/>
        <color rgb="FF638EC6"/>
      </dataBar>
      <extLst>
        <ext xmlns:x14="http://schemas.microsoft.com/office/spreadsheetml/2009/9/main" uri="{B025F937-C7B1-47D3-B67F-A62EFF666E3E}">
          <x14:id>{3DFA0C10-9E31-4F70-96F2-21B1BDDA9427}</x14:id>
        </ext>
      </extLst>
    </cfRule>
    <cfRule type="colorScale" priority="1344">
      <colorScale>
        <cfvo type="min"/>
        <cfvo type="max"/>
        <color rgb="FFFF7128"/>
        <color rgb="FFFFEF9C"/>
      </colorScale>
    </cfRule>
    <cfRule type="top10" dxfId="165" priority="1345" rank="50"/>
    <cfRule type="colorScale" priority="1346">
      <colorScale>
        <cfvo type="percent" val="0"/>
        <cfvo type="percentile" val="50"/>
        <cfvo type="max"/>
        <color rgb="FFF8696B"/>
        <color rgb="FFFFEB84"/>
        <color rgb="FF63BE7B"/>
      </colorScale>
    </cfRule>
    <cfRule type="top10" dxfId="164" priority="1342" percent="1" rank="50"/>
  </conditionalFormatting>
  <conditionalFormatting sqref="S10">
    <cfRule type="dataBar" priority="2498">
      <dataBar>
        <cfvo type="percent" val="0.5"/>
        <cfvo type="max"/>
        <color rgb="FF638EC6"/>
      </dataBar>
      <extLst>
        <ext xmlns:x14="http://schemas.microsoft.com/office/spreadsheetml/2009/9/main" uri="{B025F937-C7B1-47D3-B67F-A62EFF666E3E}">
          <x14:id>{F518FCDB-A5FC-4845-A136-04036C0050DB}</x14:id>
        </ext>
      </extLst>
    </cfRule>
    <cfRule type="top10" dxfId="163" priority="2500" rank="50"/>
    <cfRule type="colorScale" priority="2499">
      <colorScale>
        <cfvo type="min"/>
        <cfvo type="max"/>
        <color rgb="FFFF7128"/>
        <color rgb="FFFFEF9C"/>
      </colorScale>
    </cfRule>
    <cfRule type="top10" dxfId="162" priority="2497" percent="1" rank="50"/>
    <cfRule type="colorScale" priority="2496">
      <colorScale>
        <cfvo type="min"/>
        <cfvo type="percentile" val="50"/>
        <cfvo type="max"/>
        <color rgb="FFF8696B"/>
        <color rgb="FFFFEB84"/>
        <color rgb="FF63BE7B"/>
      </colorScale>
    </cfRule>
    <cfRule type="colorScale" priority="2495">
      <colorScale>
        <cfvo type="min"/>
        <cfvo type="max"/>
        <color rgb="FFFF7128"/>
        <color rgb="FFFFEF9C"/>
      </colorScale>
    </cfRule>
    <cfRule type="iconSet" priority="2494">
      <iconSet iconSet="3Arrows">
        <cfvo type="percent" val="0"/>
        <cfvo type="percent" val="33"/>
        <cfvo type="percent" val="67"/>
      </iconSet>
    </cfRule>
    <cfRule type="iconSet" priority="2493">
      <iconSet iconSet="4Rating">
        <cfvo type="percent" val="0"/>
        <cfvo type="percent" val="25"/>
        <cfvo type="percent" val="50"/>
        <cfvo type="percent" val="75"/>
      </iconSet>
    </cfRule>
    <cfRule type="cellIs" dxfId="161" priority="2492" operator="greaterThan">
      <formula>0.5</formula>
    </cfRule>
    <cfRule type="cellIs" dxfId="160" priority="2491" operator="equal">
      <formula>5</formula>
    </cfRule>
    <cfRule type="colorScale" priority="2490">
      <colorScale>
        <cfvo type="min"/>
        <cfvo type="percentile" val="50"/>
        <cfvo type="max"/>
        <color rgb="FF63BE7B"/>
        <color rgb="FFFFEB84"/>
        <color rgb="FFF8696B"/>
      </colorScale>
    </cfRule>
    <cfRule type="colorScale" priority="2503">
      <colorScale>
        <cfvo type="percent" val="50"/>
        <cfvo type="max"/>
        <color rgb="FFFF7128"/>
        <color rgb="FFFFEF9C"/>
      </colorScale>
    </cfRule>
    <cfRule type="colorScale" priority="2501">
      <colorScale>
        <cfvo type="percent" val="0"/>
        <cfvo type="percentile" val="50"/>
        <cfvo type="max"/>
        <color rgb="FFF8696B"/>
        <color rgb="FFFFEB84"/>
        <color rgb="FF63BE7B"/>
      </colorScale>
    </cfRule>
  </conditionalFormatting>
  <conditionalFormatting sqref="S11">
    <cfRule type="colorScale" priority="1230">
      <colorScale>
        <cfvo type="min"/>
        <cfvo type="max"/>
        <color rgb="FFFF7128"/>
        <color rgb="FFFFEF9C"/>
      </colorScale>
    </cfRule>
    <cfRule type="colorScale" priority="1226">
      <colorScale>
        <cfvo type="min"/>
        <cfvo type="max"/>
        <color rgb="FFFF7128"/>
        <color rgb="FFFFEF9C"/>
      </colorScale>
    </cfRule>
    <cfRule type="colorScale" priority="1221">
      <colorScale>
        <cfvo type="min"/>
        <cfvo type="percentile" val="50"/>
        <cfvo type="max"/>
        <color rgb="FF63BE7B"/>
        <color rgb="FFFFEB84"/>
        <color rgb="FFF8696B"/>
      </colorScale>
    </cfRule>
    <cfRule type="cellIs" dxfId="159" priority="1222" operator="equal">
      <formula>5</formula>
    </cfRule>
    <cfRule type="top10" dxfId="158" priority="1231" rank="50"/>
    <cfRule type="top10" dxfId="157" priority="1228" percent="1" rank="50"/>
    <cfRule type="cellIs" dxfId="156" priority="1223" operator="greaterThan">
      <formula>0.5</formula>
    </cfRule>
    <cfRule type="iconSet" priority="1224">
      <iconSet iconSet="4Rating">
        <cfvo type="percent" val="0"/>
        <cfvo type="percent" val="25"/>
        <cfvo type="percent" val="50"/>
        <cfvo type="percent" val="75"/>
      </iconSet>
    </cfRule>
    <cfRule type="colorScale" priority="1234">
      <colorScale>
        <cfvo type="percent" val="50"/>
        <cfvo type="max"/>
        <color rgb="FFFF7128"/>
        <color rgb="FFFFEF9C"/>
      </colorScale>
    </cfRule>
    <cfRule type="colorScale" priority="1232">
      <colorScale>
        <cfvo type="percent" val="0"/>
        <cfvo type="percentile" val="50"/>
        <cfvo type="max"/>
        <color rgb="FFF8696B"/>
        <color rgb="FFFFEB84"/>
        <color rgb="FF63BE7B"/>
      </colorScale>
    </cfRule>
    <cfRule type="colorScale" priority="1227">
      <colorScale>
        <cfvo type="min"/>
        <cfvo type="percentile" val="50"/>
        <cfvo type="max"/>
        <color rgb="FFF8696B"/>
        <color rgb="FFFFEB84"/>
        <color rgb="FF63BE7B"/>
      </colorScale>
    </cfRule>
    <cfRule type="iconSet" priority="1225">
      <iconSet iconSet="3Arrows">
        <cfvo type="percent" val="0"/>
        <cfvo type="percent" val="33"/>
        <cfvo type="percent" val="67"/>
      </iconSet>
    </cfRule>
    <cfRule type="dataBar" priority="1229">
      <dataBar>
        <cfvo type="percent" val="0.5"/>
        <cfvo type="max"/>
        <color rgb="FF638EC6"/>
      </dataBar>
      <extLst>
        <ext xmlns:x14="http://schemas.microsoft.com/office/spreadsheetml/2009/9/main" uri="{B025F937-C7B1-47D3-B67F-A62EFF666E3E}">
          <x14:id>{01BFAC09-8C51-475A-9BE3-F00EFCBE290C}</x14:id>
        </ext>
      </extLst>
    </cfRule>
  </conditionalFormatting>
  <conditionalFormatting sqref="S12">
    <cfRule type="iconSet" priority="2090">
      <iconSet iconSet="4Rating">
        <cfvo type="percent" val="0"/>
        <cfvo type="percent" val="25"/>
        <cfvo type="percent" val="50"/>
        <cfvo type="percent" val="75"/>
      </iconSet>
    </cfRule>
    <cfRule type="iconSet" priority="2091">
      <iconSet iconSet="3Arrows">
        <cfvo type="percent" val="0"/>
        <cfvo type="percent" val="33"/>
        <cfvo type="percent" val="67"/>
      </iconSet>
    </cfRule>
    <cfRule type="colorScale" priority="2092">
      <colorScale>
        <cfvo type="min"/>
        <cfvo type="max"/>
        <color rgb="FFFF7128"/>
        <color rgb="FFFFEF9C"/>
      </colorScale>
    </cfRule>
    <cfRule type="colorScale" priority="2093">
      <colorScale>
        <cfvo type="min"/>
        <cfvo type="percentile" val="50"/>
        <cfvo type="max"/>
        <color rgb="FFF8696B"/>
        <color rgb="FFFFEB84"/>
        <color rgb="FF63BE7B"/>
      </colorScale>
    </cfRule>
    <cfRule type="top10" dxfId="155" priority="2094" percent="1" rank="50"/>
    <cfRule type="dataBar" priority="2095">
      <dataBar>
        <cfvo type="percent" val="0.5"/>
        <cfvo type="max"/>
        <color rgb="FF638EC6"/>
      </dataBar>
      <extLst>
        <ext xmlns:x14="http://schemas.microsoft.com/office/spreadsheetml/2009/9/main" uri="{B025F937-C7B1-47D3-B67F-A62EFF666E3E}">
          <x14:id>{BF02E64D-3861-4CEE-A7B2-F53EA7E462F7}</x14:id>
        </ext>
      </extLst>
    </cfRule>
    <cfRule type="top10" dxfId="154" priority="2097" rank="50"/>
    <cfRule type="colorScale" priority="2100">
      <colorScale>
        <cfvo type="percent" val="50"/>
        <cfvo type="max"/>
        <color rgb="FFFF7128"/>
        <color rgb="FFFFEF9C"/>
      </colorScale>
    </cfRule>
    <cfRule type="colorScale" priority="2098">
      <colorScale>
        <cfvo type="percent" val="0"/>
        <cfvo type="percentile" val="50"/>
        <cfvo type="max"/>
        <color rgb="FFF8696B"/>
        <color rgb="FFFFEB84"/>
        <color rgb="FF63BE7B"/>
      </colorScale>
    </cfRule>
    <cfRule type="cellIs" dxfId="153" priority="2089" operator="greaterThan">
      <formula>0.5</formula>
    </cfRule>
    <cfRule type="colorScale" priority="2096">
      <colorScale>
        <cfvo type="min"/>
        <cfvo type="max"/>
        <color rgb="FFFF7128"/>
        <color rgb="FFFFEF9C"/>
      </colorScale>
    </cfRule>
    <cfRule type="cellIs" dxfId="152" priority="2088" operator="equal">
      <formula>5</formula>
    </cfRule>
    <cfRule type="colorScale" priority="2087">
      <colorScale>
        <cfvo type="min"/>
        <cfvo type="percentile" val="50"/>
        <cfvo type="max"/>
        <color rgb="FF63BE7B"/>
        <color rgb="FFFFEB84"/>
        <color rgb="FFF8696B"/>
      </colorScale>
    </cfRule>
  </conditionalFormatting>
  <conditionalFormatting sqref="S13">
    <cfRule type="dataBar" priority="2547">
      <dataBar>
        <cfvo type="percent" val="0.5"/>
        <cfvo type="max"/>
        <color rgb="FF638EC6"/>
      </dataBar>
      <extLst>
        <ext xmlns:x14="http://schemas.microsoft.com/office/spreadsheetml/2009/9/main" uri="{B025F937-C7B1-47D3-B67F-A62EFF666E3E}">
          <x14:id>{B386DAFA-6E82-45A5-8214-9F17951E4548}</x14:id>
        </ext>
      </extLst>
    </cfRule>
    <cfRule type="iconSet" priority="2543">
      <iconSet iconSet="3Arrows">
        <cfvo type="percent" val="0"/>
        <cfvo type="percent" val="33"/>
        <cfvo type="percent" val="67"/>
      </iconSet>
    </cfRule>
    <cfRule type="colorScale" priority="2544">
      <colorScale>
        <cfvo type="min"/>
        <cfvo type="max"/>
        <color rgb="FFFF7128"/>
        <color rgb="FFFFEF9C"/>
      </colorScale>
    </cfRule>
    <cfRule type="colorScale" priority="2548">
      <colorScale>
        <cfvo type="min"/>
        <cfvo type="max"/>
        <color rgb="FFFF7128"/>
        <color rgb="FFFFEF9C"/>
      </colorScale>
    </cfRule>
    <cfRule type="iconSet" priority="2542">
      <iconSet iconSet="4Rating">
        <cfvo type="percent" val="0"/>
        <cfvo type="percent" val="25"/>
        <cfvo type="percent" val="50"/>
        <cfvo type="percent" val="75"/>
      </iconSet>
    </cfRule>
    <cfRule type="cellIs" dxfId="151" priority="2541" operator="greaterThan">
      <formula>0.5</formula>
    </cfRule>
    <cfRule type="cellIs" dxfId="150" priority="2540" operator="equal">
      <formula>5</formula>
    </cfRule>
    <cfRule type="colorScale" priority="2539">
      <colorScale>
        <cfvo type="min"/>
        <cfvo type="percentile" val="50"/>
        <cfvo type="max"/>
        <color rgb="FF63BE7B"/>
        <color rgb="FFFFEB84"/>
        <color rgb="FFF8696B"/>
      </colorScale>
    </cfRule>
    <cfRule type="top10" dxfId="149" priority="2549" rank="50"/>
    <cfRule type="colorScale" priority="2550">
      <colorScale>
        <cfvo type="percent" val="0"/>
        <cfvo type="percentile" val="50"/>
        <cfvo type="max"/>
        <color rgb="FFF8696B"/>
        <color rgb="FFFFEB84"/>
        <color rgb="FF63BE7B"/>
      </colorScale>
    </cfRule>
    <cfRule type="colorScale" priority="2552">
      <colorScale>
        <cfvo type="percent" val="50"/>
        <cfvo type="max"/>
        <color rgb="FFFF7128"/>
        <color rgb="FFFFEF9C"/>
      </colorScale>
    </cfRule>
    <cfRule type="colorScale" priority="2545">
      <colorScale>
        <cfvo type="min"/>
        <cfvo type="percentile" val="50"/>
        <cfvo type="max"/>
        <color rgb="FFF8696B"/>
        <color rgb="FFFFEB84"/>
        <color rgb="FF63BE7B"/>
      </colorScale>
    </cfRule>
    <cfRule type="top10" dxfId="148" priority="2546" percent="1" rank="50"/>
  </conditionalFormatting>
  <conditionalFormatting sqref="S14">
    <cfRule type="top10" dxfId="147" priority="2262" percent="1" rank="50"/>
    <cfRule type="top10" dxfId="146" priority="2265" rank="50"/>
    <cfRule type="colorScale" priority="2266">
      <colorScale>
        <cfvo type="percent" val="0"/>
        <cfvo type="percentile" val="50"/>
        <cfvo type="max"/>
        <color rgb="FFF8696B"/>
        <color rgb="FFFFEB84"/>
        <color rgb="FF63BE7B"/>
      </colorScale>
    </cfRule>
    <cfRule type="colorScale" priority="2268">
      <colorScale>
        <cfvo type="percent" val="50"/>
        <cfvo type="max"/>
        <color rgb="FFFF7128"/>
        <color rgb="FFFFEF9C"/>
      </colorScale>
    </cfRule>
    <cfRule type="colorScale" priority="2261">
      <colorScale>
        <cfvo type="min"/>
        <cfvo type="percentile" val="50"/>
        <cfvo type="max"/>
        <color rgb="FFF8696B"/>
        <color rgb="FFFFEB84"/>
        <color rgb="FF63BE7B"/>
      </colorScale>
    </cfRule>
    <cfRule type="colorScale" priority="2260">
      <colorScale>
        <cfvo type="min"/>
        <cfvo type="max"/>
        <color rgb="FFFF7128"/>
        <color rgb="FFFFEF9C"/>
      </colorScale>
    </cfRule>
    <cfRule type="iconSet" priority="2259">
      <iconSet iconSet="3Arrows">
        <cfvo type="percent" val="0"/>
        <cfvo type="percent" val="33"/>
        <cfvo type="percent" val="67"/>
      </iconSet>
    </cfRule>
    <cfRule type="iconSet" priority="2258">
      <iconSet iconSet="4Rating">
        <cfvo type="percent" val="0"/>
        <cfvo type="percent" val="25"/>
        <cfvo type="percent" val="50"/>
        <cfvo type="percent" val="75"/>
      </iconSet>
    </cfRule>
    <cfRule type="cellIs" dxfId="145" priority="2257" operator="greaterThan">
      <formula>0.5</formula>
    </cfRule>
    <cfRule type="cellIs" dxfId="144" priority="2256" operator="equal">
      <formula>5</formula>
    </cfRule>
    <cfRule type="colorScale" priority="2255">
      <colorScale>
        <cfvo type="min"/>
        <cfvo type="percentile" val="50"/>
        <cfvo type="max"/>
        <color rgb="FF63BE7B"/>
        <color rgb="FFFFEB84"/>
        <color rgb="FFF8696B"/>
      </colorScale>
    </cfRule>
    <cfRule type="colorScale" priority="2264">
      <colorScale>
        <cfvo type="min"/>
        <cfvo type="max"/>
        <color rgb="FFFF7128"/>
        <color rgb="FFFFEF9C"/>
      </colorScale>
    </cfRule>
    <cfRule type="dataBar" priority="2263">
      <dataBar>
        <cfvo type="percent" val="0.5"/>
        <cfvo type="max"/>
        <color rgb="FF638EC6"/>
      </dataBar>
      <extLst>
        <ext xmlns:x14="http://schemas.microsoft.com/office/spreadsheetml/2009/9/main" uri="{B025F937-C7B1-47D3-B67F-A62EFF666E3E}">
          <x14:id>{CD617A10-4912-4692-B47D-A1DB018C12BD}</x14:id>
        </ext>
      </extLst>
    </cfRule>
  </conditionalFormatting>
  <conditionalFormatting sqref="S15">
    <cfRule type="colorScale" priority="823">
      <colorScale>
        <cfvo type="percent" val="0"/>
        <cfvo type="percentile" val="50"/>
        <cfvo type="max"/>
        <color rgb="FFF8696B"/>
        <color rgb="FFFFEB84"/>
        <color rgb="FF63BE7B"/>
      </colorScale>
    </cfRule>
    <cfRule type="cellIs" dxfId="143" priority="814" operator="greaterThan">
      <formula>0.5</formula>
    </cfRule>
    <cfRule type="top10" dxfId="142" priority="822" rank="50"/>
    <cfRule type="colorScale" priority="821">
      <colorScale>
        <cfvo type="min"/>
        <cfvo type="max"/>
        <color rgb="FFFF7128"/>
        <color rgb="FFFFEF9C"/>
      </colorScale>
    </cfRule>
    <cfRule type="dataBar" priority="820">
      <dataBar>
        <cfvo type="percent" val="0.5"/>
        <cfvo type="max"/>
        <color rgb="FF638EC6"/>
      </dataBar>
      <extLst>
        <ext xmlns:x14="http://schemas.microsoft.com/office/spreadsheetml/2009/9/main" uri="{B025F937-C7B1-47D3-B67F-A62EFF666E3E}">
          <x14:id>{1A6EF4E6-6CF4-4917-8A71-187252499012}</x14:id>
        </ext>
      </extLst>
    </cfRule>
    <cfRule type="top10" dxfId="141" priority="819" percent="1" rank="50"/>
    <cfRule type="colorScale" priority="818">
      <colorScale>
        <cfvo type="min"/>
        <cfvo type="percentile" val="50"/>
        <cfvo type="max"/>
        <color rgb="FFF8696B"/>
        <color rgb="FFFFEB84"/>
        <color rgb="FF63BE7B"/>
      </colorScale>
    </cfRule>
    <cfRule type="colorScale" priority="817">
      <colorScale>
        <cfvo type="min"/>
        <cfvo type="max"/>
        <color rgb="FFFF7128"/>
        <color rgb="FFFFEF9C"/>
      </colorScale>
    </cfRule>
    <cfRule type="iconSet" priority="816">
      <iconSet iconSet="3Arrows">
        <cfvo type="percent" val="0"/>
        <cfvo type="percent" val="33"/>
        <cfvo type="percent" val="67"/>
      </iconSet>
    </cfRule>
    <cfRule type="iconSet" priority="815">
      <iconSet iconSet="4Rating">
        <cfvo type="percent" val="0"/>
        <cfvo type="percent" val="25"/>
        <cfvo type="percent" val="50"/>
        <cfvo type="percent" val="75"/>
      </iconSet>
    </cfRule>
    <cfRule type="colorScale" priority="812">
      <colorScale>
        <cfvo type="min"/>
        <cfvo type="percentile" val="50"/>
        <cfvo type="max"/>
        <color rgb="FF63BE7B"/>
        <color rgb="FFFFEB84"/>
        <color rgb="FFF8696B"/>
      </colorScale>
    </cfRule>
    <cfRule type="cellIs" dxfId="140" priority="813" operator="equal">
      <formula>5</formula>
    </cfRule>
    <cfRule type="colorScale" priority="824">
      <colorScale>
        <cfvo type="percent" val="50"/>
        <cfvo type="max"/>
        <color rgb="FFFF7128"/>
        <color rgb="FFFFEF9C"/>
      </colorScale>
    </cfRule>
  </conditionalFormatting>
  <conditionalFormatting sqref="S16">
    <cfRule type="iconSet" priority="726">
      <iconSet iconSet="3Arrows">
        <cfvo type="percent" val="0"/>
        <cfvo type="percent" val="33"/>
        <cfvo type="percent" val="67"/>
      </iconSet>
    </cfRule>
    <cfRule type="iconSet" priority="725">
      <iconSet iconSet="4Rating">
        <cfvo type="percent" val="0"/>
        <cfvo type="percent" val="25"/>
        <cfvo type="percent" val="50"/>
        <cfvo type="percent" val="75"/>
      </iconSet>
    </cfRule>
    <cfRule type="cellIs" dxfId="139" priority="724" operator="greaterThan">
      <formula>0.5</formula>
    </cfRule>
    <cfRule type="cellIs" dxfId="138" priority="723" operator="equal">
      <formula>5</formula>
    </cfRule>
    <cfRule type="colorScale" priority="722">
      <colorScale>
        <cfvo type="min"/>
        <cfvo type="percentile" val="50"/>
        <cfvo type="max"/>
        <color rgb="FF63BE7B"/>
        <color rgb="FFFFEB84"/>
        <color rgb="FFF8696B"/>
      </colorScale>
    </cfRule>
    <cfRule type="colorScale" priority="727">
      <colorScale>
        <cfvo type="min"/>
        <cfvo type="max"/>
        <color rgb="FFFF7128"/>
        <color rgb="FFFFEF9C"/>
      </colorScale>
    </cfRule>
    <cfRule type="colorScale" priority="728">
      <colorScale>
        <cfvo type="min"/>
        <cfvo type="percentile" val="50"/>
        <cfvo type="max"/>
        <color rgb="FFF8696B"/>
        <color rgb="FFFFEB84"/>
        <color rgb="FF63BE7B"/>
      </colorScale>
    </cfRule>
    <cfRule type="top10" dxfId="137" priority="729" percent="1" rank="50"/>
    <cfRule type="dataBar" priority="730">
      <dataBar>
        <cfvo type="percent" val="0.5"/>
        <cfvo type="max"/>
        <color rgb="FF638EC6"/>
      </dataBar>
      <extLst>
        <ext xmlns:x14="http://schemas.microsoft.com/office/spreadsheetml/2009/9/main" uri="{B025F937-C7B1-47D3-B67F-A62EFF666E3E}">
          <x14:id>{D04BFFAB-02F0-4826-BBBB-E48ED776492A}</x14:id>
        </ext>
      </extLst>
    </cfRule>
    <cfRule type="colorScale" priority="731">
      <colorScale>
        <cfvo type="min"/>
        <cfvo type="max"/>
        <color rgb="FFFF7128"/>
        <color rgb="FFFFEF9C"/>
      </colorScale>
    </cfRule>
    <cfRule type="top10" dxfId="136" priority="732" rank="50"/>
    <cfRule type="colorScale" priority="734">
      <colorScale>
        <cfvo type="percent" val="50"/>
        <cfvo type="max"/>
        <color rgb="FFFF7128"/>
        <color rgb="FFFFEF9C"/>
      </colorScale>
    </cfRule>
    <cfRule type="colorScale" priority="733">
      <colorScale>
        <cfvo type="percent" val="0"/>
        <cfvo type="percentile" val="50"/>
        <cfvo type="max"/>
        <color rgb="FFF8696B"/>
        <color rgb="FFFFEB84"/>
        <color rgb="FF63BE7B"/>
      </colorScale>
    </cfRule>
  </conditionalFormatting>
  <conditionalFormatting sqref="S17">
    <cfRule type="top10" dxfId="135" priority="513" percent="1" rank="50"/>
    <cfRule type="dataBar" priority="514">
      <dataBar>
        <cfvo type="percent" val="0.5"/>
        <cfvo type="max"/>
        <color rgb="FF638EC6"/>
      </dataBar>
      <extLst>
        <ext xmlns:x14="http://schemas.microsoft.com/office/spreadsheetml/2009/9/main" uri="{B025F937-C7B1-47D3-B67F-A62EFF666E3E}">
          <x14:id>{8534A6DD-4FCE-4D91-9B27-811E52AD2E2F}</x14:id>
        </ext>
      </extLst>
    </cfRule>
    <cfRule type="top10" dxfId="134" priority="516" rank="50"/>
    <cfRule type="colorScale" priority="517">
      <colorScale>
        <cfvo type="percent" val="0"/>
        <cfvo type="percentile" val="50"/>
        <cfvo type="max"/>
        <color rgb="FFF8696B"/>
        <color rgb="FFFFEB84"/>
        <color rgb="FF63BE7B"/>
      </colorScale>
    </cfRule>
    <cfRule type="colorScale" priority="518">
      <colorScale>
        <cfvo type="percent" val="50"/>
        <cfvo type="max"/>
        <color rgb="FFFF7128"/>
        <color rgb="FFFFEF9C"/>
      </colorScale>
    </cfRule>
    <cfRule type="colorScale" priority="512">
      <colorScale>
        <cfvo type="min"/>
        <cfvo type="percentile" val="50"/>
        <cfvo type="max"/>
        <color rgb="FFF8696B"/>
        <color rgb="FFFFEB84"/>
        <color rgb="FF63BE7B"/>
      </colorScale>
    </cfRule>
    <cfRule type="colorScale" priority="511">
      <colorScale>
        <cfvo type="min"/>
        <cfvo type="max"/>
        <color rgb="FFFF7128"/>
        <color rgb="FFFFEF9C"/>
      </colorScale>
    </cfRule>
    <cfRule type="iconSet" priority="510">
      <iconSet iconSet="3Arrows">
        <cfvo type="percent" val="0"/>
        <cfvo type="percent" val="33"/>
        <cfvo type="percent" val="67"/>
      </iconSet>
    </cfRule>
    <cfRule type="iconSet" priority="509">
      <iconSet iconSet="4Rating">
        <cfvo type="percent" val="0"/>
        <cfvo type="percent" val="25"/>
        <cfvo type="percent" val="50"/>
        <cfvo type="percent" val="75"/>
      </iconSet>
    </cfRule>
    <cfRule type="cellIs" dxfId="133" priority="508" operator="greaterThan">
      <formula>0.5</formula>
    </cfRule>
    <cfRule type="cellIs" dxfId="132" priority="507" operator="equal">
      <formula>5</formula>
    </cfRule>
    <cfRule type="colorScale" priority="515">
      <colorScale>
        <cfvo type="min"/>
        <cfvo type="max"/>
        <color rgb="FFFF7128"/>
        <color rgb="FFFFEF9C"/>
      </colorScale>
    </cfRule>
    <cfRule type="colorScale" priority="506">
      <colorScale>
        <cfvo type="min"/>
        <cfvo type="percentile" val="50"/>
        <cfvo type="max"/>
        <color rgb="FF63BE7B"/>
        <color rgb="FFFFEB84"/>
        <color rgb="FFF8696B"/>
      </colorScale>
    </cfRule>
  </conditionalFormatting>
  <conditionalFormatting sqref="S18">
    <cfRule type="colorScale" priority="363">
      <colorScale>
        <cfvo type="min"/>
        <cfvo type="percentile" val="50"/>
        <cfvo type="max"/>
        <color rgb="FF63BE7B"/>
        <color rgb="FFFFEB84"/>
        <color rgb="FFF8696B"/>
      </colorScale>
    </cfRule>
    <cfRule type="colorScale" priority="375">
      <colorScale>
        <cfvo type="percent" val="50"/>
        <cfvo type="max"/>
        <color rgb="FFFF7128"/>
        <color rgb="FFFFEF9C"/>
      </colorScale>
    </cfRule>
    <cfRule type="colorScale" priority="374">
      <colorScale>
        <cfvo type="percent" val="0"/>
        <cfvo type="percentile" val="50"/>
        <cfvo type="max"/>
        <color rgb="FFF8696B"/>
        <color rgb="FFFFEB84"/>
        <color rgb="FF63BE7B"/>
      </colorScale>
    </cfRule>
    <cfRule type="top10" dxfId="131" priority="373" rank="50"/>
    <cfRule type="colorScale" priority="372">
      <colorScale>
        <cfvo type="min"/>
        <cfvo type="max"/>
        <color rgb="FFFF7128"/>
        <color rgb="FFFFEF9C"/>
      </colorScale>
    </cfRule>
    <cfRule type="dataBar" priority="371">
      <dataBar>
        <cfvo type="percent" val="0.5"/>
        <cfvo type="max"/>
        <color rgb="FF638EC6"/>
      </dataBar>
      <extLst>
        <ext xmlns:x14="http://schemas.microsoft.com/office/spreadsheetml/2009/9/main" uri="{B025F937-C7B1-47D3-B67F-A62EFF666E3E}">
          <x14:id>{450B54BD-F562-8746-A219-81169BEA9C25}</x14:id>
        </ext>
      </extLst>
    </cfRule>
    <cfRule type="top10" dxfId="130" priority="370" percent="1" rank="50"/>
    <cfRule type="colorScale" priority="369">
      <colorScale>
        <cfvo type="min"/>
        <cfvo type="percentile" val="50"/>
        <cfvo type="max"/>
        <color rgb="FFF8696B"/>
        <color rgb="FFFFEB84"/>
        <color rgb="FF63BE7B"/>
      </colorScale>
    </cfRule>
    <cfRule type="colorScale" priority="368">
      <colorScale>
        <cfvo type="min"/>
        <cfvo type="max"/>
        <color rgb="FFFF7128"/>
        <color rgb="FFFFEF9C"/>
      </colorScale>
    </cfRule>
    <cfRule type="iconSet" priority="367">
      <iconSet iconSet="3Arrows">
        <cfvo type="percent" val="0"/>
        <cfvo type="percent" val="33"/>
        <cfvo type="percent" val="67"/>
      </iconSet>
    </cfRule>
    <cfRule type="iconSet" priority="366">
      <iconSet iconSet="4Rating">
        <cfvo type="percent" val="0"/>
        <cfvo type="percent" val="25"/>
        <cfvo type="percent" val="50"/>
        <cfvo type="percent" val="75"/>
      </iconSet>
    </cfRule>
    <cfRule type="cellIs" dxfId="129" priority="365" operator="greaterThan">
      <formula>0.5</formula>
    </cfRule>
    <cfRule type="cellIs" dxfId="128" priority="364" operator="equal">
      <formula>5</formula>
    </cfRule>
  </conditionalFormatting>
  <conditionalFormatting sqref="S19">
    <cfRule type="colorScale" priority="124">
      <colorScale>
        <cfvo type="min"/>
        <cfvo type="percentile" val="50"/>
        <cfvo type="max"/>
        <color rgb="FFF8696B"/>
        <color rgb="FFFFEB84"/>
        <color rgb="FF63BE7B"/>
      </colorScale>
    </cfRule>
    <cfRule type="dataBar" priority="126">
      <dataBar>
        <cfvo type="percent" val="0.5"/>
        <cfvo type="max"/>
        <color rgb="FF638EC6"/>
      </dataBar>
      <extLst>
        <ext xmlns:x14="http://schemas.microsoft.com/office/spreadsheetml/2009/9/main" uri="{B025F937-C7B1-47D3-B67F-A62EFF666E3E}">
          <x14:id>{90131F09-5D12-4442-8A1D-ACB41836270B}</x14:id>
        </ext>
      </extLst>
    </cfRule>
    <cfRule type="colorScale" priority="118">
      <colorScale>
        <cfvo type="min"/>
        <cfvo type="percentile" val="50"/>
        <cfvo type="max"/>
        <color rgb="FF63BE7B"/>
        <color rgb="FFFFEB84"/>
        <color rgb="FFF8696B"/>
      </colorScale>
    </cfRule>
    <cfRule type="cellIs" dxfId="127" priority="119" operator="equal">
      <formula>5</formula>
    </cfRule>
    <cfRule type="cellIs" dxfId="126" priority="120" operator="greaterThan">
      <formula>0.5</formula>
    </cfRule>
    <cfRule type="iconSet" priority="121">
      <iconSet iconSet="4Rating">
        <cfvo type="percent" val="0"/>
        <cfvo type="percent" val="25"/>
        <cfvo type="percent" val="50"/>
        <cfvo type="percent" val="75"/>
      </iconSet>
    </cfRule>
    <cfRule type="iconSet" priority="122">
      <iconSet iconSet="3Arrows">
        <cfvo type="percent" val="0"/>
        <cfvo type="percent" val="33"/>
        <cfvo type="percent" val="67"/>
      </iconSet>
    </cfRule>
    <cfRule type="colorScale" priority="123">
      <colorScale>
        <cfvo type="min"/>
        <cfvo type="max"/>
        <color rgb="FFFF7128"/>
        <color rgb="FFFFEF9C"/>
      </colorScale>
    </cfRule>
    <cfRule type="top10" dxfId="125" priority="125" percent="1" rank="50"/>
    <cfRule type="colorScale" priority="130">
      <colorScale>
        <cfvo type="percent" val="50"/>
        <cfvo type="max"/>
        <color rgb="FFFF7128"/>
        <color rgb="FFFFEF9C"/>
      </colorScale>
    </cfRule>
    <cfRule type="colorScale" priority="129">
      <colorScale>
        <cfvo type="percent" val="0"/>
        <cfvo type="percentile" val="50"/>
        <cfvo type="max"/>
        <color rgb="FFF8696B"/>
        <color rgb="FFFFEB84"/>
        <color rgb="FF63BE7B"/>
      </colorScale>
    </cfRule>
    <cfRule type="top10" dxfId="124" priority="128" rank="50"/>
    <cfRule type="colorScale" priority="127">
      <colorScale>
        <cfvo type="min"/>
        <cfvo type="max"/>
        <color rgb="FFFF7128"/>
        <color rgb="FFFFEF9C"/>
      </colorScale>
    </cfRule>
  </conditionalFormatting>
  <conditionalFormatting sqref="S20:S26">
    <cfRule type="cellIs" dxfId="123" priority="172" operator="equal">
      <formula>5</formula>
    </cfRule>
    <cfRule type="cellIs" dxfId="122" priority="173" operator="greaterThan">
      <formula>0.5</formula>
    </cfRule>
    <cfRule type="colorScale" priority="180">
      <colorScale>
        <cfvo type="min"/>
        <cfvo type="max"/>
        <color rgb="FFFF7128"/>
        <color rgb="FFFFEF9C"/>
      </colorScale>
    </cfRule>
    <cfRule type="dataBar" priority="179">
      <dataBar>
        <cfvo type="percent" val="0.5"/>
        <cfvo type="max"/>
        <color rgb="FF638EC6"/>
      </dataBar>
      <extLst>
        <ext xmlns:x14="http://schemas.microsoft.com/office/spreadsheetml/2009/9/main" uri="{B025F937-C7B1-47D3-B67F-A62EFF666E3E}">
          <x14:id>{736F86E1-5D51-034D-BE84-DE8FCCE8C4E6}</x14:id>
        </ext>
      </extLst>
    </cfRule>
    <cfRule type="iconSet" priority="175">
      <iconSet iconSet="3Arrows">
        <cfvo type="percent" val="0"/>
        <cfvo type="percent" val="33"/>
        <cfvo type="percent" val="67"/>
      </iconSet>
    </cfRule>
    <cfRule type="iconSet" priority="174">
      <iconSet iconSet="4Rating">
        <cfvo type="percent" val="0"/>
        <cfvo type="percent" val="25"/>
        <cfvo type="percent" val="50"/>
        <cfvo type="percent" val="75"/>
      </iconSet>
    </cfRule>
    <cfRule type="colorScale" priority="183">
      <colorScale>
        <cfvo type="percent" val="50"/>
        <cfvo type="max"/>
        <color rgb="FFFF7128"/>
        <color rgb="FFFFEF9C"/>
      </colorScale>
    </cfRule>
    <cfRule type="colorScale" priority="182">
      <colorScale>
        <cfvo type="percent" val="0"/>
        <cfvo type="percentile" val="50"/>
        <cfvo type="max"/>
        <color rgb="FFF8696B"/>
        <color rgb="FFFFEB84"/>
        <color rgb="FF63BE7B"/>
      </colorScale>
    </cfRule>
    <cfRule type="top10" dxfId="121" priority="181" rank="50"/>
    <cfRule type="colorScale" priority="176">
      <colorScale>
        <cfvo type="min"/>
        <cfvo type="max"/>
        <color rgb="FFFF7128"/>
        <color rgb="FFFFEF9C"/>
      </colorScale>
    </cfRule>
    <cfRule type="colorScale" priority="177">
      <colorScale>
        <cfvo type="min"/>
        <cfvo type="percentile" val="50"/>
        <cfvo type="max"/>
        <color rgb="FFF8696B"/>
        <color rgb="FFFFEB84"/>
        <color rgb="FF63BE7B"/>
      </colorScale>
    </cfRule>
    <cfRule type="top10" dxfId="120" priority="178" percent="1" rank="50"/>
    <cfRule type="colorScale" priority="171">
      <colorScale>
        <cfvo type="min"/>
        <cfvo type="percentile" val="50"/>
        <cfvo type="max"/>
        <color rgb="FF63BE7B"/>
        <color rgb="FFFFEB84"/>
        <color rgb="FFF8696B"/>
      </colorScale>
    </cfRule>
  </conditionalFormatting>
  <conditionalFormatting sqref="T6">
    <cfRule type="top10" dxfId="119" priority="1086" rank="4"/>
    <cfRule type="cellIs" dxfId="118" priority="1087" operator="equal">
      <formula>5</formula>
    </cfRule>
  </conditionalFormatting>
  <conditionalFormatting sqref="T6:T14">
    <cfRule type="cellIs" dxfId="117" priority="896" operator="lessThan">
      <formula>5</formula>
    </cfRule>
  </conditionalFormatting>
  <conditionalFormatting sqref="T7">
    <cfRule type="cellIs" dxfId="116" priority="1895" operator="equal">
      <formula>5</formula>
    </cfRule>
    <cfRule type="top10" dxfId="115" priority="1894" rank="4"/>
  </conditionalFormatting>
  <conditionalFormatting sqref="T8">
    <cfRule type="cellIs" dxfId="114" priority="899" operator="equal">
      <formula>5</formula>
    </cfRule>
    <cfRule type="top10" dxfId="113" priority="898" rank="4"/>
  </conditionalFormatting>
  <conditionalFormatting sqref="T9">
    <cfRule type="top10" dxfId="112" priority="1308" rank="4"/>
    <cfRule type="cellIs" dxfId="111" priority="1309" operator="equal">
      <formula>5</formula>
    </cfRule>
  </conditionalFormatting>
  <conditionalFormatting sqref="T10">
    <cfRule type="cellIs" dxfId="110" priority="1899" operator="equal">
      <formula>5</formula>
    </cfRule>
    <cfRule type="top10" dxfId="109" priority="1898" rank="4"/>
  </conditionalFormatting>
  <conditionalFormatting sqref="T11">
    <cfRule type="cellIs" dxfId="108" priority="1238" operator="equal">
      <formula>5</formula>
    </cfRule>
    <cfRule type="top10" dxfId="107" priority="1237" rank="4"/>
  </conditionalFormatting>
  <conditionalFormatting sqref="T12">
    <cfRule type="top10" dxfId="106" priority="1882" rank="4"/>
    <cfRule type="cellIs" dxfId="105" priority="1883" operator="equal">
      <formula>5</formula>
    </cfRule>
  </conditionalFormatting>
  <conditionalFormatting sqref="T13">
    <cfRule type="top10" dxfId="104" priority="1902" rank="4"/>
    <cfRule type="cellIs" dxfId="103" priority="1903" operator="equal">
      <formula>5</formula>
    </cfRule>
  </conditionalFormatting>
  <conditionalFormatting sqref="T14">
    <cfRule type="top10" dxfId="102" priority="1890" rank="4"/>
    <cfRule type="cellIs" dxfId="101" priority="1891" operator="equal">
      <formula>5</formula>
    </cfRule>
  </conditionalFormatting>
  <conditionalFormatting sqref="T15">
    <cfRule type="top10" dxfId="100" priority="825" rank="4"/>
    <cfRule type="cellIs" dxfId="99" priority="826" operator="equal">
      <formula>5</formula>
    </cfRule>
  </conditionalFormatting>
  <conditionalFormatting sqref="T16">
    <cfRule type="top10" dxfId="98" priority="735" rank="4"/>
    <cfRule type="cellIs" dxfId="97" priority="736" operator="equal">
      <formula>5</formula>
    </cfRule>
  </conditionalFormatting>
  <conditionalFormatting sqref="T17">
    <cfRule type="top10" dxfId="96" priority="491" rank="4"/>
    <cfRule type="cellIs" dxfId="95" priority="492" operator="equal">
      <formula>5</formula>
    </cfRule>
  </conditionalFormatting>
  <conditionalFormatting sqref="T18">
    <cfRule type="top10" dxfId="94" priority="348" rank="4"/>
    <cfRule type="cellIs" dxfId="93" priority="349" operator="equal">
      <formula>5</formula>
    </cfRule>
  </conditionalFormatting>
  <conditionalFormatting sqref="T19">
    <cfRule type="top10" dxfId="92" priority="146" rank="4"/>
    <cfRule type="cellIs" dxfId="91" priority="147" operator="equal">
      <formula>5</formula>
    </cfRule>
  </conditionalFormatting>
  <conditionalFormatting sqref="T20:T26">
    <cfRule type="cellIs" dxfId="90" priority="157" operator="equal">
      <formula>5</formula>
    </cfRule>
    <cfRule type="top10" dxfId="89" priority="156" rank="4"/>
  </conditionalFormatting>
  <conditionalFormatting sqref="U6">
    <cfRule type="colorScale" priority="1074">
      <colorScale>
        <cfvo type="min"/>
        <cfvo type="percentile" val="50"/>
        <cfvo type="max"/>
        <color rgb="FFF8696B"/>
        <color rgb="FFFFEB84"/>
        <color rgb="FF63BE7B"/>
      </colorScale>
    </cfRule>
    <cfRule type="colorScale" priority="1068">
      <colorScale>
        <cfvo type="min"/>
        <cfvo type="percentile" val="50"/>
        <cfvo type="max"/>
        <color rgb="FF63BE7B"/>
        <color rgb="FFFFEB84"/>
        <color rgb="FFF8696B"/>
      </colorScale>
    </cfRule>
    <cfRule type="dataBar" priority="1076">
      <dataBar>
        <cfvo type="percent" val="0.5"/>
        <cfvo type="max"/>
        <color rgb="FF638EC6"/>
      </dataBar>
      <extLst>
        <ext xmlns:x14="http://schemas.microsoft.com/office/spreadsheetml/2009/9/main" uri="{B025F937-C7B1-47D3-B67F-A62EFF666E3E}">
          <x14:id>{BA4E0B8B-CBC4-455F-921E-57460A91CB05}</x14:id>
        </ext>
      </extLst>
    </cfRule>
    <cfRule type="colorScale" priority="1077">
      <colorScale>
        <cfvo type="min"/>
        <cfvo type="max"/>
        <color rgb="FFFF7128"/>
        <color rgb="FFFFEF9C"/>
      </colorScale>
    </cfRule>
    <cfRule type="colorScale" priority="1073">
      <colorScale>
        <cfvo type="min"/>
        <cfvo type="max"/>
        <color rgb="FFFF7128"/>
        <color rgb="FFFFEF9C"/>
      </colorScale>
    </cfRule>
    <cfRule type="iconSet" priority="1072">
      <iconSet iconSet="3Arrows">
        <cfvo type="percent" val="0"/>
        <cfvo type="percent" val="33"/>
        <cfvo type="percent" val="67"/>
      </iconSet>
    </cfRule>
    <cfRule type="top10" dxfId="88" priority="1075" percent="1" rank="50"/>
    <cfRule type="top10" dxfId="87" priority="1078" rank="50"/>
    <cfRule type="colorScale" priority="1079">
      <colorScale>
        <cfvo type="percent" val="0"/>
        <cfvo type="percentile" val="50"/>
        <cfvo type="max"/>
        <color rgb="FFF8696B"/>
        <color rgb="FFFFEB84"/>
        <color rgb="FF63BE7B"/>
      </colorScale>
    </cfRule>
    <cfRule type="iconSet" priority="1071">
      <iconSet iconSet="4Rating">
        <cfvo type="percent" val="0"/>
        <cfvo type="percent" val="25"/>
        <cfvo type="percent" val="50"/>
        <cfvo type="percent" val="75"/>
      </iconSet>
    </cfRule>
    <cfRule type="cellIs" dxfId="86" priority="1070" operator="greaterThan">
      <formula>0.5</formula>
    </cfRule>
    <cfRule type="cellIs" dxfId="85" priority="1069" operator="equal">
      <formula>5</formula>
    </cfRule>
    <cfRule type="colorScale" priority="1081">
      <colorScale>
        <cfvo type="percent" val="50"/>
        <cfvo type="max"/>
        <color rgb="FFFF7128"/>
        <color rgb="FFFFEF9C"/>
      </colorScale>
    </cfRule>
  </conditionalFormatting>
  <conditionalFormatting sqref="U6:U14">
    <cfRule type="cellIs" priority="951" operator="between">
      <formula>0.5</formula>
      <formula>1</formula>
    </cfRule>
  </conditionalFormatting>
  <conditionalFormatting sqref="U7">
    <cfRule type="cellIs" dxfId="84" priority="2410" operator="greaterThan">
      <formula>0.5</formula>
    </cfRule>
    <cfRule type="colorScale" priority="2421">
      <colorScale>
        <cfvo type="percent" val="50"/>
        <cfvo type="max"/>
        <color rgb="FFFF7128"/>
        <color rgb="FFFFEF9C"/>
      </colorScale>
    </cfRule>
    <cfRule type="colorScale" priority="2419">
      <colorScale>
        <cfvo type="percent" val="0"/>
        <cfvo type="percentile" val="50"/>
        <cfvo type="max"/>
        <color rgb="FFF8696B"/>
        <color rgb="FFFFEB84"/>
        <color rgb="FF63BE7B"/>
      </colorScale>
    </cfRule>
    <cfRule type="colorScale" priority="2408">
      <colorScale>
        <cfvo type="min"/>
        <cfvo type="percentile" val="50"/>
        <cfvo type="max"/>
        <color rgb="FF63BE7B"/>
        <color rgb="FFFFEB84"/>
        <color rgb="FFF8696B"/>
      </colorScale>
    </cfRule>
    <cfRule type="top10" dxfId="83" priority="2418" rank="50"/>
    <cfRule type="cellIs" dxfId="82" priority="2409" operator="equal">
      <formula>5</formula>
    </cfRule>
    <cfRule type="colorScale" priority="2417">
      <colorScale>
        <cfvo type="min"/>
        <cfvo type="max"/>
        <color rgb="FFFF7128"/>
        <color rgb="FFFFEF9C"/>
      </colorScale>
    </cfRule>
    <cfRule type="dataBar" priority="2416">
      <dataBar>
        <cfvo type="percent" val="0.5"/>
        <cfvo type="max"/>
        <color rgb="FF638EC6"/>
      </dataBar>
      <extLst>
        <ext xmlns:x14="http://schemas.microsoft.com/office/spreadsheetml/2009/9/main" uri="{B025F937-C7B1-47D3-B67F-A62EFF666E3E}">
          <x14:id>{7A2D42DA-2213-4734-A7A0-23F3A6EB783A}</x14:id>
        </ext>
      </extLst>
    </cfRule>
    <cfRule type="colorScale" priority="2414">
      <colorScale>
        <cfvo type="min"/>
        <cfvo type="percentile" val="50"/>
        <cfvo type="max"/>
        <color rgb="FFF8696B"/>
        <color rgb="FFFFEB84"/>
        <color rgb="FF63BE7B"/>
      </colorScale>
    </cfRule>
    <cfRule type="colorScale" priority="2413">
      <colorScale>
        <cfvo type="min"/>
        <cfvo type="max"/>
        <color rgb="FFFF7128"/>
        <color rgb="FFFFEF9C"/>
      </colorScale>
    </cfRule>
    <cfRule type="iconSet" priority="2412">
      <iconSet iconSet="3Arrows">
        <cfvo type="percent" val="0"/>
        <cfvo type="percent" val="33"/>
        <cfvo type="percent" val="67"/>
      </iconSet>
    </cfRule>
    <cfRule type="iconSet" priority="2411">
      <iconSet iconSet="4Rating">
        <cfvo type="percent" val="0"/>
        <cfvo type="percent" val="25"/>
        <cfvo type="percent" val="50"/>
        <cfvo type="percent" val="75"/>
      </iconSet>
    </cfRule>
    <cfRule type="top10" dxfId="81" priority="2415" percent="1" rank="50"/>
  </conditionalFormatting>
  <conditionalFormatting sqref="U8">
    <cfRule type="colorScale" priority="948">
      <colorScale>
        <cfvo type="min"/>
        <cfvo type="max"/>
        <color rgb="FFFF7128"/>
        <color rgb="FFFFEF9C"/>
      </colorScale>
    </cfRule>
    <cfRule type="colorScale" priority="945">
      <colorScale>
        <cfvo type="min"/>
        <cfvo type="percentile" val="50"/>
        <cfvo type="max"/>
        <color rgb="FFF8696B"/>
        <color rgb="FFFFEB84"/>
        <color rgb="FF63BE7B"/>
      </colorScale>
    </cfRule>
    <cfRule type="colorScale" priority="952">
      <colorScale>
        <cfvo type="percent" val="50"/>
        <cfvo type="max"/>
        <color rgb="FFFF7128"/>
        <color rgb="FFFFEF9C"/>
      </colorScale>
    </cfRule>
    <cfRule type="colorScale" priority="950">
      <colorScale>
        <cfvo type="percent" val="0"/>
        <cfvo type="percentile" val="50"/>
        <cfvo type="max"/>
        <color rgb="FFF8696B"/>
        <color rgb="FFFFEB84"/>
        <color rgb="FF63BE7B"/>
      </colorScale>
    </cfRule>
    <cfRule type="dataBar" priority="947">
      <dataBar>
        <cfvo type="percent" val="0.5"/>
        <cfvo type="max"/>
        <color rgb="FF638EC6"/>
      </dataBar>
      <extLst>
        <ext xmlns:x14="http://schemas.microsoft.com/office/spreadsheetml/2009/9/main" uri="{B025F937-C7B1-47D3-B67F-A62EFF666E3E}">
          <x14:id>{DA3A0FC0-BC32-41F9-AC9C-2ACBFDE8B598}</x14:id>
        </ext>
      </extLst>
    </cfRule>
    <cfRule type="top10" dxfId="80" priority="946" percent="1" rank="50"/>
    <cfRule type="top10" dxfId="79" priority="949" rank="50"/>
    <cfRule type="colorScale" priority="939">
      <colorScale>
        <cfvo type="min"/>
        <cfvo type="percentile" val="50"/>
        <cfvo type="max"/>
        <color rgb="FF63BE7B"/>
        <color rgb="FFFFEB84"/>
        <color rgb="FFF8696B"/>
      </colorScale>
    </cfRule>
    <cfRule type="cellIs" dxfId="78" priority="940" operator="equal">
      <formula>5</formula>
    </cfRule>
    <cfRule type="cellIs" dxfId="77" priority="941" operator="greaterThan">
      <formula>0.5</formula>
    </cfRule>
    <cfRule type="iconSet" priority="942">
      <iconSet iconSet="4Rating">
        <cfvo type="percent" val="0"/>
        <cfvo type="percent" val="25"/>
        <cfvo type="percent" val="50"/>
        <cfvo type="percent" val="75"/>
      </iconSet>
    </cfRule>
    <cfRule type="iconSet" priority="943">
      <iconSet iconSet="3Arrows">
        <cfvo type="percent" val="0"/>
        <cfvo type="percent" val="33"/>
        <cfvo type="percent" val="67"/>
      </iconSet>
    </cfRule>
    <cfRule type="colorScale" priority="944">
      <colorScale>
        <cfvo type="min"/>
        <cfvo type="max"/>
        <color rgb="FFFF7128"/>
        <color rgb="FFFFEF9C"/>
      </colorScale>
    </cfRule>
  </conditionalFormatting>
  <conditionalFormatting sqref="U9">
    <cfRule type="top10" dxfId="76" priority="1356" percent="1" rank="50"/>
    <cfRule type="colorScale" priority="1360">
      <colorScale>
        <cfvo type="percent" val="0"/>
        <cfvo type="percentile" val="50"/>
        <cfvo type="max"/>
        <color rgb="FFF8696B"/>
        <color rgb="FFFFEB84"/>
        <color rgb="FF63BE7B"/>
      </colorScale>
    </cfRule>
    <cfRule type="colorScale" priority="1355">
      <colorScale>
        <cfvo type="min"/>
        <cfvo type="percentile" val="50"/>
        <cfvo type="max"/>
        <color rgb="FFF8696B"/>
        <color rgb="FFFFEB84"/>
        <color rgb="FF63BE7B"/>
      </colorScale>
    </cfRule>
    <cfRule type="colorScale" priority="1354">
      <colorScale>
        <cfvo type="min"/>
        <cfvo type="max"/>
        <color rgb="FFFF7128"/>
        <color rgb="FFFFEF9C"/>
      </colorScale>
    </cfRule>
    <cfRule type="iconSet" priority="1353">
      <iconSet iconSet="3Arrows">
        <cfvo type="percent" val="0"/>
        <cfvo type="percent" val="33"/>
        <cfvo type="percent" val="67"/>
      </iconSet>
    </cfRule>
    <cfRule type="iconSet" priority="1352">
      <iconSet iconSet="4Rating">
        <cfvo type="percent" val="0"/>
        <cfvo type="percent" val="25"/>
        <cfvo type="percent" val="50"/>
        <cfvo type="percent" val="75"/>
      </iconSet>
    </cfRule>
    <cfRule type="cellIs" dxfId="75" priority="1351" operator="greaterThan">
      <formula>0.5</formula>
    </cfRule>
    <cfRule type="cellIs" dxfId="74" priority="1350" operator="equal">
      <formula>5</formula>
    </cfRule>
    <cfRule type="colorScale" priority="1349">
      <colorScale>
        <cfvo type="min"/>
        <cfvo type="percentile" val="50"/>
        <cfvo type="max"/>
        <color rgb="FF63BE7B"/>
        <color rgb="FFFFEB84"/>
        <color rgb="FFF8696B"/>
      </colorScale>
    </cfRule>
    <cfRule type="colorScale" priority="1362">
      <colorScale>
        <cfvo type="percent" val="50"/>
        <cfvo type="max"/>
        <color rgb="FFFF7128"/>
        <color rgb="FFFFEF9C"/>
      </colorScale>
    </cfRule>
    <cfRule type="dataBar" priority="1357">
      <dataBar>
        <cfvo type="percent" val="0.5"/>
        <cfvo type="max"/>
        <color rgb="FF638EC6"/>
      </dataBar>
      <extLst>
        <ext xmlns:x14="http://schemas.microsoft.com/office/spreadsheetml/2009/9/main" uri="{B025F937-C7B1-47D3-B67F-A62EFF666E3E}">
          <x14:id>{25EBB885-D705-498F-9BB1-1FAFA2BA2241}</x14:id>
        </ext>
      </extLst>
    </cfRule>
    <cfRule type="colorScale" priority="1358">
      <colorScale>
        <cfvo type="min"/>
        <cfvo type="max"/>
        <color rgb="FFFF7128"/>
        <color rgb="FFFFEF9C"/>
      </colorScale>
    </cfRule>
    <cfRule type="top10" dxfId="73" priority="1359" rank="50"/>
  </conditionalFormatting>
  <conditionalFormatting sqref="U10">
    <cfRule type="colorScale" priority="2510">
      <colorScale>
        <cfvo type="min"/>
        <cfvo type="percentile" val="50"/>
        <cfvo type="max"/>
        <color rgb="FFF8696B"/>
        <color rgb="FFFFEB84"/>
        <color rgb="FF63BE7B"/>
      </colorScale>
    </cfRule>
    <cfRule type="colorScale" priority="2509">
      <colorScale>
        <cfvo type="min"/>
        <cfvo type="max"/>
        <color rgb="FFFF7128"/>
        <color rgb="FFFFEF9C"/>
      </colorScale>
    </cfRule>
    <cfRule type="iconSet" priority="2508">
      <iconSet iconSet="3Arrows">
        <cfvo type="percent" val="0"/>
        <cfvo type="percent" val="33"/>
        <cfvo type="percent" val="67"/>
      </iconSet>
    </cfRule>
    <cfRule type="iconSet" priority="2507">
      <iconSet iconSet="4Rating">
        <cfvo type="percent" val="0"/>
        <cfvo type="percent" val="25"/>
        <cfvo type="percent" val="50"/>
        <cfvo type="percent" val="75"/>
      </iconSet>
    </cfRule>
    <cfRule type="cellIs" dxfId="72" priority="2506" operator="greaterThan">
      <formula>0.5</formula>
    </cfRule>
    <cfRule type="colorScale" priority="2504">
      <colorScale>
        <cfvo type="min"/>
        <cfvo type="percentile" val="50"/>
        <cfvo type="max"/>
        <color rgb="FF63BE7B"/>
        <color rgb="FFFFEB84"/>
        <color rgb="FFF8696B"/>
      </colorScale>
    </cfRule>
    <cfRule type="cellIs" dxfId="71" priority="2505" operator="equal">
      <formula>5</formula>
    </cfRule>
    <cfRule type="colorScale" priority="2515">
      <colorScale>
        <cfvo type="percent" val="0"/>
        <cfvo type="percentile" val="50"/>
        <cfvo type="max"/>
        <color rgb="FFF8696B"/>
        <color rgb="FFFFEB84"/>
        <color rgb="FF63BE7B"/>
      </colorScale>
    </cfRule>
    <cfRule type="top10" dxfId="70" priority="2511" percent="1" rank="50"/>
    <cfRule type="colorScale" priority="2517">
      <colorScale>
        <cfvo type="percent" val="50"/>
        <cfvo type="max"/>
        <color rgb="FFFF7128"/>
        <color rgb="FFFFEF9C"/>
      </colorScale>
    </cfRule>
    <cfRule type="dataBar" priority="2512">
      <dataBar>
        <cfvo type="percent" val="0.5"/>
        <cfvo type="max"/>
        <color rgb="FF638EC6"/>
      </dataBar>
      <extLst>
        <ext xmlns:x14="http://schemas.microsoft.com/office/spreadsheetml/2009/9/main" uri="{B025F937-C7B1-47D3-B67F-A62EFF666E3E}">
          <x14:id>{1AE72C55-DFBA-4CAE-9ECB-61715E384008}</x14:id>
        </ext>
      </extLst>
    </cfRule>
    <cfRule type="colorScale" priority="2513">
      <colorScale>
        <cfvo type="min"/>
        <cfvo type="max"/>
        <color rgb="FFFF7128"/>
        <color rgb="FFFFEF9C"/>
      </colorScale>
    </cfRule>
    <cfRule type="top10" dxfId="69" priority="2514" rank="50"/>
  </conditionalFormatting>
  <conditionalFormatting sqref="U11">
    <cfRule type="colorScale" priority="1213">
      <colorScale>
        <cfvo type="min"/>
        <cfvo type="percentile" val="50"/>
        <cfvo type="max"/>
        <color rgb="FFF8696B"/>
        <color rgb="FFFFEB84"/>
        <color rgb="FF63BE7B"/>
      </colorScale>
    </cfRule>
    <cfRule type="top10" dxfId="68" priority="1214" percent="1" rank="50"/>
    <cfRule type="dataBar" priority="1215">
      <dataBar>
        <cfvo type="percent" val="0.5"/>
        <cfvo type="max"/>
        <color rgb="FF638EC6"/>
      </dataBar>
      <extLst>
        <ext xmlns:x14="http://schemas.microsoft.com/office/spreadsheetml/2009/9/main" uri="{B025F937-C7B1-47D3-B67F-A62EFF666E3E}">
          <x14:id>{12B548DD-86F0-41DC-ADA1-BA26153D7776}</x14:id>
        </ext>
      </extLst>
    </cfRule>
    <cfRule type="colorScale" priority="1216">
      <colorScale>
        <cfvo type="min"/>
        <cfvo type="max"/>
        <color rgb="FFFF7128"/>
        <color rgb="FFFFEF9C"/>
      </colorScale>
    </cfRule>
    <cfRule type="colorScale" priority="1207">
      <colorScale>
        <cfvo type="min"/>
        <cfvo type="percentile" val="50"/>
        <cfvo type="max"/>
        <color rgb="FF63BE7B"/>
        <color rgb="FFFFEB84"/>
        <color rgb="FFF8696B"/>
      </colorScale>
    </cfRule>
    <cfRule type="iconSet" priority="1210">
      <iconSet iconSet="4Rating">
        <cfvo type="percent" val="0"/>
        <cfvo type="percent" val="25"/>
        <cfvo type="percent" val="50"/>
        <cfvo type="percent" val="75"/>
      </iconSet>
    </cfRule>
    <cfRule type="cellIs" dxfId="67" priority="1209" operator="greaterThan">
      <formula>0.5</formula>
    </cfRule>
    <cfRule type="cellIs" dxfId="66" priority="1208" operator="equal">
      <formula>5</formula>
    </cfRule>
    <cfRule type="colorScale" priority="1212">
      <colorScale>
        <cfvo type="min"/>
        <cfvo type="max"/>
        <color rgb="FFFF7128"/>
        <color rgb="FFFFEF9C"/>
      </colorScale>
    </cfRule>
    <cfRule type="iconSet" priority="1211">
      <iconSet iconSet="3Arrows">
        <cfvo type="percent" val="0"/>
        <cfvo type="percent" val="33"/>
        <cfvo type="percent" val="67"/>
      </iconSet>
    </cfRule>
    <cfRule type="top10" dxfId="65" priority="1217" rank="50"/>
    <cfRule type="colorScale" priority="1218">
      <colorScale>
        <cfvo type="percent" val="0"/>
        <cfvo type="percentile" val="50"/>
        <cfvo type="max"/>
        <color rgb="FFF8696B"/>
        <color rgb="FFFFEB84"/>
        <color rgb="FF63BE7B"/>
      </colorScale>
    </cfRule>
    <cfRule type="colorScale" priority="1220">
      <colorScale>
        <cfvo type="percent" val="50"/>
        <cfvo type="max"/>
        <color rgb="FFFF7128"/>
        <color rgb="FFFFEF9C"/>
      </colorScale>
    </cfRule>
  </conditionalFormatting>
  <conditionalFormatting sqref="U12">
    <cfRule type="top10" dxfId="64" priority="2121" percent="1" rank="50"/>
    <cfRule type="dataBar" priority="2122">
      <dataBar>
        <cfvo type="percent" val="0.5"/>
        <cfvo type="max"/>
        <color rgb="FF638EC6"/>
      </dataBar>
      <extLst>
        <ext xmlns:x14="http://schemas.microsoft.com/office/spreadsheetml/2009/9/main" uri="{B025F937-C7B1-47D3-B67F-A62EFF666E3E}">
          <x14:id>{073EB2FB-C2A3-4B6A-8D65-18386F11649E}</x14:id>
        </ext>
      </extLst>
    </cfRule>
    <cfRule type="colorScale" priority="2120">
      <colorScale>
        <cfvo type="min"/>
        <cfvo type="percentile" val="50"/>
        <cfvo type="max"/>
        <color rgb="FFF8696B"/>
        <color rgb="FFFFEB84"/>
        <color rgb="FF63BE7B"/>
      </colorScale>
    </cfRule>
    <cfRule type="colorScale" priority="2119">
      <colorScale>
        <cfvo type="min"/>
        <cfvo type="max"/>
        <color rgb="FFFF7128"/>
        <color rgb="FFFFEF9C"/>
      </colorScale>
    </cfRule>
    <cfRule type="iconSet" priority="2118">
      <iconSet iconSet="3Arrows">
        <cfvo type="percent" val="0"/>
        <cfvo type="percent" val="33"/>
        <cfvo type="percent" val="67"/>
      </iconSet>
    </cfRule>
    <cfRule type="iconSet" priority="2117">
      <iconSet iconSet="4Rating">
        <cfvo type="percent" val="0"/>
        <cfvo type="percent" val="25"/>
        <cfvo type="percent" val="50"/>
        <cfvo type="percent" val="75"/>
      </iconSet>
    </cfRule>
    <cfRule type="colorScale" priority="2123">
      <colorScale>
        <cfvo type="min"/>
        <cfvo type="max"/>
        <color rgb="FFFF7128"/>
        <color rgb="FFFFEF9C"/>
      </colorScale>
    </cfRule>
    <cfRule type="top10" dxfId="63" priority="2124" rank="50"/>
    <cfRule type="colorScale" priority="2125">
      <colorScale>
        <cfvo type="percent" val="0"/>
        <cfvo type="percentile" val="50"/>
        <cfvo type="max"/>
        <color rgb="FFF8696B"/>
        <color rgb="FFFFEB84"/>
        <color rgb="FF63BE7B"/>
      </colorScale>
    </cfRule>
    <cfRule type="colorScale" priority="2127">
      <colorScale>
        <cfvo type="percent" val="50"/>
        <cfvo type="max"/>
        <color rgb="FFFF7128"/>
        <color rgb="FFFFEF9C"/>
      </colorScale>
    </cfRule>
    <cfRule type="cellIs" dxfId="62" priority="2116" operator="greaterThan">
      <formula>0.5</formula>
    </cfRule>
    <cfRule type="cellIs" dxfId="61" priority="2115" operator="equal">
      <formula>5</formula>
    </cfRule>
    <cfRule type="colorScale" priority="2114">
      <colorScale>
        <cfvo type="min"/>
        <cfvo type="percentile" val="50"/>
        <cfvo type="max"/>
        <color rgb="FF63BE7B"/>
        <color rgb="FFFFEB84"/>
        <color rgb="FFF8696B"/>
      </colorScale>
    </cfRule>
  </conditionalFormatting>
  <conditionalFormatting sqref="U13">
    <cfRule type="iconSet" priority="2556">
      <iconSet iconSet="4Rating">
        <cfvo type="percent" val="0"/>
        <cfvo type="percent" val="25"/>
        <cfvo type="percent" val="50"/>
        <cfvo type="percent" val="75"/>
      </iconSet>
    </cfRule>
    <cfRule type="colorScale" priority="2558">
      <colorScale>
        <cfvo type="min"/>
        <cfvo type="max"/>
        <color rgb="FFFF7128"/>
        <color rgb="FFFFEF9C"/>
      </colorScale>
    </cfRule>
    <cfRule type="cellIs" dxfId="60" priority="2555" operator="greaterThan">
      <formula>0.5</formula>
    </cfRule>
    <cfRule type="cellIs" dxfId="59" priority="2554" operator="equal">
      <formula>5</formula>
    </cfRule>
    <cfRule type="colorScale" priority="2566">
      <colorScale>
        <cfvo type="percent" val="50"/>
        <cfvo type="max"/>
        <color rgb="FFFF7128"/>
        <color rgb="FFFFEF9C"/>
      </colorScale>
    </cfRule>
    <cfRule type="colorScale" priority="2564">
      <colorScale>
        <cfvo type="percent" val="0"/>
        <cfvo type="percentile" val="50"/>
        <cfvo type="max"/>
        <color rgb="FFF8696B"/>
        <color rgb="FFFFEB84"/>
        <color rgb="FF63BE7B"/>
      </colorScale>
    </cfRule>
    <cfRule type="top10" dxfId="58" priority="2563" rank="50"/>
    <cfRule type="colorScale" priority="2562">
      <colorScale>
        <cfvo type="min"/>
        <cfvo type="max"/>
        <color rgb="FFFF7128"/>
        <color rgb="FFFFEF9C"/>
      </colorScale>
    </cfRule>
    <cfRule type="dataBar" priority="2561">
      <dataBar>
        <cfvo type="percent" val="0.5"/>
        <cfvo type="max"/>
        <color rgb="FF638EC6"/>
      </dataBar>
      <extLst>
        <ext xmlns:x14="http://schemas.microsoft.com/office/spreadsheetml/2009/9/main" uri="{B025F937-C7B1-47D3-B67F-A62EFF666E3E}">
          <x14:id>{3FBA2019-A462-4A71-BA6E-23C3C449C066}</x14:id>
        </ext>
      </extLst>
    </cfRule>
    <cfRule type="top10" dxfId="57" priority="2560" percent="1" rank="50"/>
    <cfRule type="colorScale" priority="2553">
      <colorScale>
        <cfvo type="min"/>
        <cfvo type="percentile" val="50"/>
        <cfvo type="max"/>
        <color rgb="FF63BE7B"/>
        <color rgb="FFFFEB84"/>
        <color rgb="FFF8696B"/>
      </colorScale>
    </cfRule>
    <cfRule type="iconSet" priority="2557">
      <iconSet iconSet="3Arrows">
        <cfvo type="percent" val="0"/>
        <cfvo type="percent" val="33"/>
        <cfvo type="percent" val="67"/>
      </iconSet>
    </cfRule>
    <cfRule type="colorScale" priority="2559">
      <colorScale>
        <cfvo type="min"/>
        <cfvo type="percentile" val="50"/>
        <cfvo type="max"/>
        <color rgb="FFF8696B"/>
        <color rgb="FFFFEB84"/>
        <color rgb="FF63BE7B"/>
      </colorScale>
    </cfRule>
  </conditionalFormatting>
  <conditionalFormatting sqref="U14">
    <cfRule type="colorScale" priority="2282">
      <colorScale>
        <cfvo type="percent" val="50"/>
        <cfvo type="max"/>
        <color rgb="FFFF7128"/>
        <color rgb="FFFFEF9C"/>
      </colorScale>
    </cfRule>
    <cfRule type="colorScale" priority="2275">
      <colorScale>
        <cfvo type="min"/>
        <cfvo type="percentile" val="50"/>
        <cfvo type="max"/>
        <color rgb="FFF8696B"/>
        <color rgb="FFFFEB84"/>
        <color rgb="FF63BE7B"/>
      </colorScale>
    </cfRule>
    <cfRule type="dataBar" priority="2277">
      <dataBar>
        <cfvo type="percent" val="0.5"/>
        <cfvo type="max"/>
        <color rgb="FF638EC6"/>
      </dataBar>
      <extLst>
        <ext xmlns:x14="http://schemas.microsoft.com/office/spreadsheetml/2009/9/main" uri="{B025F937-C7B1-47D3-B67F-A62EFF666E3E}">
          <x14:id>{899DC15C-FD11-48E0-8610-4FDBDDF2CEF6}</x14:id>
        </ext>
      </extLst>
    </cfRule>
    <cfRule type="colorScale" priority="2274">
      <colorScale>
        <cfvo type="min"/>
        <cfvo type="max"/>
        <color rgb="FFFF7128"/>
        <color rgb="FFFFEF9C"/>
      </colorScale>
    </cfRule>
    <cfRule type="colorScale" priority="2278">
      <colorScale>
        <cfvo type="min"/>
        <cfvo type="max"/>
        <color rgb="FFFF7128"/>
        <color rgb="FFFFEF9C"/>
      </colorScale>
    </cfRule>
    <cfRule type="top10" dxfId="56" priority="2279" rank="50"/>
    <cfRule type="colorScale" priority="2280">
      <colorScale>
        <cfvo type="percent" val="0"/>
        <cfvo type="percentile" val="50"/>
        <cfvo type="max"/>
        <color rgb="FFF8696B"/>
        <color rgb="FFFFEB84"/>
        <color rgb="FF63BE7B"/>
      </colorScale>
    </cfRule>
    <cfRule type="iconSet" priority="2273">
      <iconSet iconSet="3Arrows">
        <cfvo type="percent" val="0"/>
        <cfvo type="percent" val="33"/>
        <cfvo type="percent" val="67"/>
      </iconSet>
    </cfRule>
    <cfRule type="iconSet" priority="2272">
      <iconSet iconSet="4Rating">
        <cfvo type="percent" val="0"/>
        <cfvo type="percent" val="25"/>
        <cfvo type="percent" val="50"/>
        <cfvo type="percent" val="75"/>
      </iconSet>
    </cfRule>
    <cfRule type="cellIs" dxfId="55" priority="2271" operator="greaterThan">
      <formula>0.5</formula>
    </cfRule>
    <cfRule type="cellIs" dxfId="54" priority="2270" operator="equal">
      <formula>5</formula>
    </cfRule>
    <cfRule type="colorScale" priority="2269">
      <colorScale>
        <cfvo type="min"/>
        <cfvo type="percentile" val="50"/>
        <cfvo type="max"/>
        <color rgb="FF63BE7B"/>
        <color rgb="FFFFEB84"/>
        <color rgb="FFF8696B"/>
      </colorScale>
    </cfRule>
    <cfRule type="top10" dxfId="53" priority="2276" percent="1" rank="50"/>
  </conditionalFormatting>
  <conditionalFormatting sqref="U15">
    <cfRule type="colorScale" priority="832">
      <colorScale>
        <cfvo type="min"/>
        <cfvo type="max"/>
        <color rgb="FFFF7128"/>
        <color rgb="FFFFEF9C"/>
      </colorScale>
    </cfRule>
    <cfRule type="top10" dxfId="52" priority="834" percent="1" rank="50"/>
    <cfRule type="colorScale" priority="833">
      <colorScale>
        <cfvo type="min"/>
        <cfvo type="percentile" val="50"/>
        <cfvo type="max"/>
        <color rgb="FFF8696B"/>
        <color rgb="FFFFEB84"/>
        <color rgb="FF63BE7B"/>
      </colorScale>
    </cfRule>
    <cfRule type="dataBar" priority="835">
      <dataBar>
        <cfvo type="percent" val="0.5"/>
        <cfvo type="max"/>
        <color rgb="FF638EC6"/>
      </dataBar>
      <extLst>
        <ext xmlns:x14="http://schemas.microsoft.com/office/spreadsheetml/2009/9/main" uri="{B025F937-C7B1-47D3-B67F-A62EFF666E3E}">
          <x14:id>{76AC58AE-6E51-4A70-BECB-65C55FDD7029}</x14:id>
        </ext>
      </extLst>
    </cfRule>
    <cfRule type="colorScale" priority="836">
      <colorScale>
        <cfvo type="min"/>
        <cfvo type="max"/>
        <color rgb="FFFF7128"/>
        <color rgb="FFFFEF9C"/>
      </colorScale>
    </cfRule>
    <cfRule type="top10" dxfId="51" priority="837" rank="50"/>
    <cfRule type="colorScale" priority="838">
      <colorScale>
        <cfvo type="percent" val="0"/>
        <cfvo type="percentile" val="50"/>
        <cfvo type="max"/>
        <color rgb="FFF8696B"/>
        <color rgb="FFFFEB84"/>
        <color rgb="FF63BE7B"/>
      </colorScale>
    </cfRule>
    <cfRule type="colorScale" priority="839">
      <colorScale>
        <cfvo type="percent" val="50"/>
        <cfvo type="max"/>
        <color rgb="FFFF7128"/>
        <color rgb="FFFFEF9C"/>
      </colorScale>
    </cfRule>
    <cfRule type="colorScale" priority="827">
      <colorScale>
        <cfvo type="min"/>
        <cfvo type="percentile" val="50"/>
        <cfvo type="max"/>
        <color rgb="FF63BE7B"/>
        <color rgb="FFFFEB84"/>
        <color rgb="FFF8696B"/>
      </colorScale>
    </cfRule>
    <cfRule type="cellIs" dxfId="50" priority="828" operator="equal">
      <formula>5</formula>
    </cfRule>
    <cfRule type="cellIs" dxfId="49" priority="829" operator="greaterThan">
      <formula>0.5</formula>
    </cfRule>
    <cfRule type="iconSet" priority="830">
      <iconSet iconSet="4Rating">
        <cfvo type="percent" val="0"/>
        <cfvo type="percent" val="25"/>
        <cfvo type="percent" val="50"/>
        <cfvo type="percent" val="75"/>
      </iconSet>
    </cfRule>
    <cfRule type="iconSet" priority="831">
      <iconSet iconSet="3Arrows">
        <cfvo type="percent" val="0"/>
        <cfvo type="percent" val="33"/>
        <cfvo type="percent" val="67"/>
      </iconSet>
    </cfRule>
  </conditionalFormatting>
  <conditionalFormatting sqref="U16">
    <cfRule type="iconSet" priority="740">
      <iconSet iconSet="4Rating">
        <cfvo type="percent" val="0"/>
        <cfvo type="percent" val="25"/>
        <cfvo type="percent" val="50"/>
        <cfvo type="percent" val="75"/>
      </iconSet>
    </cfRule>
    <cfRule type="colorScale" priority="749">
      <colorScale>
        <cfvo type="percent" val="50"/>
        <cfvo type="max"/>
        <color rgb="FFFF7128"/>
        <color rgb="FFFFEF9C"/>
      </colorScale>
    </cfRule>
    <cfRule type="colorScale" priority="737">
      <colorScale>
        <cfvo type="min"/>
        <cfvo type="percentile" val="50"/>
        <cfvo type="max"/>
        <color rgb="FF63BE7B"/>
        <color rgb="FFFFEB84"/>
        <color rgb="FFF8696B"/>
      </colorScale>
    </cfRule>
    <cfRule type="cellIs" dxfId="48" priority="738" operator="equal">
      <formula>5</formula>
    </cfRule>
    <cfRule type="colorScale" priority="742">
      <colorScale>
        <cfvo type="min"/>
        <cfvo type="max"/>
        <color rgb="FFFF7128"/>
        <color rgb="FFFFEF9C"/>
      </colorScale>
    </cfRule>
    <cfRule type="colorScale" priority="743">
      <colorScale>
        <cfvo type="min"/>
        <cfvo type="percentile" val="50"/>
        <cfvo type="max"/>
        <color rgb="FFF8696B"/>
        <color rgb="FFFFEB84"/>
        <color rgb="FF63BE7B"/>
      </colorScale>
    </cfRule>
    <cfRule type="top10" dxfId="47" priority="744" percent="1" rank="50"/>
    <cfRule type="dataBar" priority="745">
      <dataBar>
        <cfvo type="percent" val="0.5"/>
        <cfvo type="max"/>
        <color rgb="FF638EC6"/>
      </dataBar>
      <extLst>
        <ext xmlns:x14="http://schemas.microsoft.com/office/spreadsheetml/2009/9/main" uri="{B025F937-C7B1-47D3-B67F-A62EFF666E3E}">
          <x14:id>{249CFD86-F1CF-4AC8-8396-B1C0A6EB0CD5}</x14:id>
        </ext>
      </extLst>
    </cfRule>
    <cfRule type="cellIs" dxfId="46" priority="739" operator="greaterThan">
      <formula>0.5</formula>
    </cfRule>
    <cfRule type="iconSet" priority="741">
      <iconSet iconSet="3Arrows">
        <cfvo type="percent" val="0"/>
        <cfvo type="percent" val="33"/>
        <cfvo type="percent" val="67"/>
      </iconSet>
    </cfRule>
    <cfRule type="colorScale" priority="746">
      <colorScale>
        <cfvo type="min"/>
        <cfvo type="max"/>
        <color rgb="FFFF7128"/>
        <color rgb="FFFFEF9C"/>
      </colorScale>
    </cfRule>
    <cfRule type="top10" dxfId="45" priority="747" rank="50"/>
    <cfRule type="colorScale" priority="748">
      <colorScale>
        <cfvo type="percent" val="0"/>
        <cfvo type="percentile" val="50"/>
        <cfvo type="max"/>
        <color rgb="FFF8696B"/>
        <color rgb="FFFFEB84"/>
        <color rgb="FF63BE7B"/>
      </colorScale>
    </cfRule>
  </conditionalFormatting>
  <conditionalFormatting sqref="U17">
    <cfRule type="dataBar" priority="527">
      <dataBar>
        <cfvo type="percent" val="0.5"/>
        <cfvo type="max"/>
        <color rgb="FF638EC6"/>
      </dataBar>
      <extLst>
        <ext xmlns:x14="http://schemas.microsoft.com/office/spreadsheetml/2009/9/main" uri="{B025F937-C7B1-47D3-B67F-A62EFF666E3E}">
          <x14:id>{6097DD54-DB99-4F3B-B7D6-3D9D59142A4F}</x14:id>
        </ext>
      </extLst>
    </cfRule>
    <cfRule type="colorScale" priority="525">
      <colorScale>
        <cfvo type="min"/>
        <cfvo type="percentile" val="50"/>
        <cfvo type="max"/>
        <color rgb="FFF8696B"/>
        <color rgb="FFFFEB84"/>
        <color rgb="FF63BE7B"/>
      </colorScale>
    </cfRule>
    <cfRule type="top10" dxfId="44" priority="529" rank="50"/>
    <cfRule type="colorScale" priority="530">
      <colorScale>
        <cfvo type="percent" val="0"/>
        <cfvo type="percentile" val="50"/>
        <cfvo type="max"/>
        <color rgb="FFF8696B"/>
        <color rgb="FFFFEB84"/>
        <color rgb="FF63BE7B"/>
      </colorScale>
    </cfRule>
    <cfRule type="colorScale" priority="531">
      <colorScale>
        <cfvo type="percent" val="50"/>
        <cfvo type="max"/>
        <color rgb="FFFF7128"/>
        <color rgb="FFFFEF9C"/>
      </colorScale>
    </cfRule>
    <cfRule type="colorScale" priority="519">
      <colorScale>
        <cfvo type="min"/>
        <cfvo type="percentile" val="50"/>
        <cfvo type="max"/>
        <color rgb="FF63BE7B"/>
        <color rgb="FFFFEB84"/>
        <color rgb="FFF8696B"/>
      </colorScale>
    </cfRule>
    <cfRule type="cellIs" dxfId="43" priority="520" operator="equal">
      <formula>5</formula>
    </cfRule>
    <cfRule type="cellIs" dxfId="42" priority="521" operator="greaterThan">
      <formula>0.5</formula>
    </cfRule>
    <cfRule type="iconSet" priority="522">
      <iconSet iconSet="4Rating">
        <cfvo type="percent" val="0"/>
        <cfvo type="percent" val="25"/>
        <cfvo type="percent" val="50"/>
        <cfvo type="percent" val="75"/>
      </iconSet>
    </cfRule>
    <cfRule type="iconSet" priority="523">
      <iconSet iconSet="3Arrows">
        <cfvo type="percent" val="0"/>
        <cfvo type="percent" val="33"/>
        <cfvo type="percent" val="67"/>
      </iconSet>
    </cfRule>
    <cfRule type="colorScale" priority="528">
      <colorScale>
        <cfvo type="min"/>
        <cfvo type="max"/>
        <color rgb="FFFF7128"/>
        <color rgb="FFFFEF9C"/>
      </colorScale>
    </cfRule>
    <cfRule type="top10" dxfId="41" priority="526" percent="1" rank="50"/>
    <cfRule type="colorScale" priority="524">
      <colorScale>
        <cfvo type="min"/>
        <cfvo type="max"/>
        <color rgb="FFFF7128"/>
        <color rgb="FFFFEF9C"/>
      </colorScale>
    </cfRule>
  </conditionalFormatting>
  <conditionalFormatting sqref="U18">
    <cfRule type="cellIs" dxfId="40" priority="378" operator="greaterThan">
      <formula>0.5</formula>
    </cfRule>
    <cfRule type="dataBar" priority="384">
      <dataBar>
        <cfvo type="percent" val="0.5"/>
        <cfvo type="max"/>
        <color rgb="FF638EC6"/>
      </dataBar>
      <extLst>
        <ext xmlns:x14="http://schemas.microsoft.com/office/spreadsheetml/2009/9/main" uri="{B025F937-C7B1-47D3-B67F-A62EFF666E3E}">
          <x14:id>{55FF6947-4A51-6B4C-9ACF-881406F82989}</x14:id>
        </ext>
      </extLst>
    </cfRule>
    <cfRule type="colorScale" priority="387">
      <colorScale>
        <cfvo type="percent" val="0"/>
        <cfvo type="percentile" val="50"/>
        <cfvo type="max"/>
        <color rgb="FFF8696B"/>
        <color rgb="FFFFEB84"/>
        <color rgb="FF63BE7B"/>
      </colorScale>
    </cfRule>
    <cfRule type="top10" dxfId="39" priority="386" rank="50"/>
    <cfRule type="colorScale" priority="388">
      <colorScale>
        <cfvo type="percent" val="50"/>
        <cfvo type="max"/>
        <color rgb="FFFF7128"/>
        <color rgb="FFFFEF9C"/>
      </colorScale>
    </cfRule>
    <cfRule type="colorScale" priority="376">
      <colorScale>
        <cfvo type="min"/>
        <cfvo type="percentile" val="50"/>
        <cfvo type="max"/>
        <color rgb="FF63BE7B"/>
        <color rgb="FFFFEB84"/>
        <color rgb="FFF8696B"/>
      </colorScale>
    </cfRule>
    <cfRule type="cellIs" dxfId="38" priority="377" operator="equal">
      <formula>5</formula>
    </cfRule>
    <cfRule type="colorScale" priority="385">
      <colorScale>
        <cfvo type="min"/>
        <cfvo type="max"/>
        <color rgb="FFFF7128"/>
        <color rgb="FFFFEF9C"/>
      </colorScale>
    </cfRule>
    <cfRule type="iconSet" priority="379">
      <iconSet iconSet="4Rating">
        <cfvo type="percent" val="0"/>
        <cfvo type="percent" val="25"/>
        <cfvo type="percent" val="50"/>
        <cfvo type="percent" val="75"/>
      </iconSet>
    </cfRule>
    <cfRule type="iconSet" priority="380">
      <iconSet iconSet="3Arrows">
        <cfvo type="percent" val="0"/>
        <cfvo type="percent" val="33"/>
        <cfvo type="percent" val="67"/>
      </iconSet>
    </cfRule>
    <cfRule type="colorScale" priority="381">
      <colorScale>
        <cfvo type="min"/>
        <cfvo type="max"/>
        <color rgb="FFFF7128"/>
        <color rgb="FFFFEF9C"/>
      </colorScale>
    </cfRule>
    <cfRule type="colorScale" priority="382">
      <colorScale>
        <cfvo type="min"/>
        <cfvo type="percentile" val="50"/>
        <cfvo type="max"/>
        <color rgb="FFF8696B"/>
        <color rgb="FFFFEB84"/>
        <color rgb="FF63BE7B"/>
      </colorScale>
    </cfRule>
    <cfRule type="top10" dxfId="37" priority="383" percent="1" rank="50"/>
  </conditionalFormatting>
  <conditionalFormatting sqref="U19">
    <cfRule type="colorScale" priority="142">
      <colorScale>
        <cfvo type="percent" val="0"/>
        <cfvo type="percentile" val="50"/>
        <cfvo type="max"/>
        <color rgb="FFF8696B"/>
        <color rgb="FFFFEB84"/>
        <color rgb="FF63BE7B"/>
      </colorScale>
    </cfRule>
    <cfRule type="colorScale" priority="131">
      <colorScale>
        <cfvo type="min"/>
        <cfvo type="percentile" val="50"/>
        <cfvo type="max"/>
        <color rgb="FF63BE7B"/>
        <color rgb="FFFFEB84"/>
        <color rgb="FFF8696B"/>
      </colorScale>
    </cfRule>
    <cfRule type="top10" dxfId="36" priority="141" rank="50"/>
    <cfRule type="colorScale" priority="143">
      <colorScale>
        <cfvo type="percent" val="50"/>
        <cfvo type="max"/>
        <color rgb="FFFF7128"/>
        <color rgb="FFFFEF9C"/>
      </colorScale>
    </cfRule>
    <cfRule type="cellIs" dxfId="35" priority="132" operator="equal">
      <formula>5</formula>
    </cfRule>
    <cfRule type="cellIs" dxfId="34" priority="133" operator="greaterThan">
      <formula>0.5</formula>
    </cfRule>
    <cfRule type="iconSet" priority="134">
      <iconSet iconSet="4Rating">
        <cfvo type="percent" val="0"/>
        <cfvo type="percent" val="25"/>
        <cfvo type="percent" val="50"/>
        <cfvo type="percent" val="75"/>
      </iconSet>
    </cfRule>
    <cfRule type="iconSet" priority="135">
      <iconSet iconSet="3Arrows">
        <cfvo type="percent" val="0"/>
        <cfvo type="percent" val="33"/>
        <cfvo type="percent" val="67"/>
      </iconSet>
    </cfRule>
    <cfRule type="colorScale" priority="136">
      <colorScale>
        <cfvo type="min"/>
        <cfvo type="max"/>
        <color rgb="FFFF7128"/>
        <color rgb="FFFFEF9C"/>
      </colorScale>
    </cfRule>
    <cfRule type="colorScale" priority="137">
      <colorScale>
        <cfvo type="min"/>
        <cfvo type="percentile" val="50"/>
        <cfvo type="max"/>
        <color rgb="FFF8696B"/>
        <color rgb="FFFFEB84"/>
        <color rgb="FF63BE7B"/>
      </colorScale>
    </cfRule>
    <cfRule type="top10" dxfId="33" priority="138" percent="1" rank="50"/>
    <cfRule type="dataBar" priority="139">
      <dataBar>
        <cfvo type="percent" val="0.5"/>
        <cfvo type="max"/>
        <color rgb="FF638EC6"/>
      </dataBar>
      <extLst>
        <ext xmlns:x14="http://schemas.microsoft.com/office/spreadsheetml/2009/9/main" uri="{B025F937-C7B1-47D3-B67F-A62EFF666E3E}">
          <x14:id>{EC302C19-35ED-4373-82CC-06A9D99DA3FA}</x14:id>
        </ext>
      </extLst>
    </cfRule>
    <cfRule type="colorScale" priority="140">
      <colorScale>
        <cfvo type="min"/>
        <cfvo type="max"/>
        <color rgb="FFFF7128"/>
        <color rgb="FFFFEF9C"/>
      </colorScale>
    </cfRule>
  </conditionalFormatting>
  <conditionalFormatting sqref="U20:U26">
    <cfRule type="colorScale" priority="184">
      <colorScale>
        <cfvo type="min"/>
        <cfvo type="percentile" val="50"/>
        <cfvo type="max"/>
        <color rgb="FF63BE7B"/>
        <color rgb="FFFFEB84"/>
        <color rgb="FFF8696B"/>
      </colorScale>
    </cfRule>
    <cfRule type="colorScale" priority="196">
      <colorScale>
        <cfvo type="percent" val="50"/>
        <cfvo type="max"/>
        <color rgb="FFFF7128"/>
        <color rgb="FFFFEF9C"/>
      </colorScale>
    </cfRule>
    <cfRule type="colorScale" priority="195">
      <colorScale>
        <cfvo type="percent" val="0"/>
        <cfvo type="percentile" val="50"/>
        <cfvo type="max"/>
        <color rgb="FFF8696B"/>
        <color rgb="FFFFEB84"/>
        <color rgb="FF63BE7B"/>
      </colorScale>
    </cfRule>
    <cfRule type="top10" dxfId="32" priority="194" rank="50"/>
    <cfRule type="colorScale" priority="190">
      <colorScale>
        <cfvo type="min"/>
        <cfvo type="percentile" val="50"/>
        <cfvo type="max"/>
        <color rgb="FFF8696B"/>
        <color rgb="FFFFEB84"/>
        <color rgb="FF63BE7B"/>
      </colorScale>
    </cfRule>
    <cfRule type="colorScale" priority="189">
      <colorScale>
        <cfvo type="min"/>
        <cfvo type="max"/>
        <color rgb="FFFF7128"/>
        <color rgb="FFFFEF9C"/>
      </colorScale>
    </cfRule>
    <cfRule type="iconSet" priority="188">
      <iconSet iconSet="3Arrows">
        <cfvo type="percent" val="0"/>
        <cfvo type="percent" val="33"/>
        <cfvo type="percent" val="67"/>
      </iconSet>
    </cfRule>
    <cfRule type="iconSet" priority="187">
      <iconSet iconSet="4Rating">
        <cfvo type="percent" val="0"/>
        <cfvo type="percent" val="25"/>
        <cfvo type="percent" val="50"/>
        <cfvo type="percent" val="75"/>
      </iconSet>
    </cfRule>
    <cfRule type="cellIs" dxfId="31" priority="186" operator="greaterThan">
      <formula>0.5</formula>
    </cfRule>
    <cfRule type="cellIs" dxfId="30" priority="185" operator="equal">
      <formula>5</formula>
    </cfRule>
    <cfRule type="top10" dxfId="29" priority="191" percent="1" rank="50"/>
    <cfRule type="colorScale" priority="193">
      <colorScale>
        <cfvo type="min"/>
        <cfvo type="max"/>
        <color rgb="FFFF7128"/>
        <color rgb="FFFFEF9C"/>
      </colorScale>
    </cfRule>
    <cfRule type="dataBar" priority="192">
      <dataBar>
        <cfvo type="percent" val="0.5"/>
        <cfvo type="max"/>
        <color rgb="FF638EC6"/>
      </dataBar>
      <extLst>
        <ext xmlns:x14="http://schemas.microsoft.com/office/spreadsheetml/2009/9/main" uri="{B025F937-C7B1-47D3-B67F-A62EFF666E3E}">
          <x14:id>{166C4A65-FB7C-6845-BA95-0FD4681C7A79}</x14:id>
        </ext>
      </extLst>
    </cfRule>
  </conditionalFormatting>
  <conditionalFormatting sqref="W6">
    <cfRule type="colorScale" priority="1019">
      <colorScale>
        <cfvo type="min"/>
        <cfvo type="max"/>
        <color rgb="FFFF7128"/>
        <color rgb="FFFFEF9C"/>
      </colorScale>
    </cfRule>
    <cfRule type="colorScale" priority="1023">
      <colorScale>
        <cfvo type="percent" val="50"/>
        <cfvo type="max"/>
        <color rgb="FFFF7128"/>
        <color rgb="FFFFEF9C"/>
      </colorScale>
    </cfRule>
    <cfRule type="iconSet" priority="1012">
      <iconSet iconSet="4Rating">
        <cfvo type="percent" val="0"/>
        <cfvo type="percent" val="25"/>
        <cfvo type="percent" val="50"/>
        <cfvo type="percent" val="75"/>
      </iconSet>
    </cfRule>
    <cfRule type="iconSet" priority="1013">
      <iconSet iconSet="3Arrows">
        <cfvo type="percent" val="0"/>
        <cfvo type="percent" val="33"/>
        <cfvo type="percent" val="67"/>
      </iconSet>
    </cfRule>
    <cfRule type="colorScale" priority="1014">
      <colorScale>
        <cfvo type="min"/>
        <cfvo type="percentile" val="50"/>
        <cfvo type="max"/>
        <color rgb="FFF8696B"/>
        <color rgb="FFFCFCFF"/>
        <color rgb="FF5A8AC6"/>
      </colorScale>
    </cfRule>
    <cfRule type="colorScale" priority="1015">
      <colorScale>
        <cfvo type="min"/>
        <cfvo type="max"/>
        <color rgb="FFFF7128"/>
        <color rgb="FFFFEF9C"/>
      </colorScale>
    </cfRule>
    <cfRule type="colorScale" priority="1016">
      <colorScale>
        <cfvo type="min"/>
        <cfvo type="percentile" val="50"/>
        <cfvo type="max"/>
        <color rgb="FFF8696B"/>
        <color rgb="FFFFEB84"/>
        <color rgb="FF63BE7B"/>
      </colorScale>
    </cfRule>
    <cfRule type="top10" dxfId="28" priority="1017" percent="1" rank="50"/>
    <cfRule type="dataBar" priority="1018">
      <dataBar>
        <cfvo type="percent" val="0.5"/>
        <cfvo type="max"/>
        <color rgb="FF638EC6"/>
      </dataBar>
      <extLst>
        <ext xmlns:x14="http://schemas.microsoft.com/office/spreadsheetml/2009/9/main" uri="{B025F937-C7B1-47D3-B67F-A62EFF666E3E}">
          <x14:id>{AC728670-7449-4C7B-B1A6-B33AC9062BBD}</x14:id>
        </ext>
      </extLst>
    </cfRule>
    <cfRule type="colorScale" priority="1021">
      <colorScale>
        <cfvo type="percent" val="0"/>
        <cfvo type="percentile" val="50"/>
        <cfvo type="max"/>
        <color rgb="FFF8696B"/>
        <color rgb="FFFFEB84"/>
        <color rgb="FF63BE7B"/>
      </colorScale>
    </cfRule>
    <cfRule type="top10" dxfId="27" priority="1020" rank="50"/>
  </conditionalFormatting>
  <conditionalFormatting sqref="W6:W14">
    <cfRule type="cellIs" priority="923" operator="between">
      <formula>0.5</formula>
      <formula>1</formula>
    </cfRule>
  </conditionalFormatting>
  <conditionalFormatting sqref="W6:W26 N14:N26 N6:N12">
    <cfRule type="cellIs" dxfId="26" priority="953" operator="greaterThan">
      <formula>0.5</formula>
    </cfRule>
  </conditionalFormatting>
  <conditionalFormatting sqref="W7">
    <cfRule type="iconSet" priority="2354">
      <iconSet iconSet="4Rating">
        <cfvo type="percent" val="0"/>
        <cfvo type="percent" val="25"/>
        <cfvo type="percent" val="50"/>
        <cfvo type="percent" val="75"/>
      </iconSet>
    </cfRule>
    <cfRule type="colorScale" priority="2363">
      <colorScale>
        <cfvo type="percent" val="0"/>
        <cfvo type="percentile" val="50"/>
        <cfvo type="max"/>
        <color rgb="FFF8696B"/>
        <color rgb="FFFFEB84"/>
        <color rgb="FF63BE7B"/>
      </colorScale>
    </cfRule>
    <cfRule type="colorScale" priority="2365">
      <colorScale>
        <cfvo type="percent" val="50"/>
        <cfvo type="max"/>
        <color rgb="FFFF7128"/>
        <color rgb="FFFFEF9C"/>
      </colorScale>
    </cfRule>
    <cfRule type="iconSet" priority="2355">
      <iconSet iconSet="3Arrows">
        <cfvo type="percent" val="0"/>
        <cfvo type="percent" val="33"/>
        <cfvo type="percent" val="67"/>
      </iconSet>
    </cfRule>
    <cfRule type="colorScale" priority="2357">
      <colorScale>
        <cfvo type="min"/>
        <cfvo type="max"/>
        <color rgb="FFFF7128"/>
        <color rgb="FFFFEF9C"/>
      </colorScale>
    </cfRule>
    <cfRule type="colorScale" priority="2358">
      <colorScale>
        <cfvo type="min"/>
        <cfvo type="percentile" val="50"/>
        <cfvo type="max"/>
        <color rgb="FFF8696B"/>
        <color rgb="FFFFEB84"/>
        <color rgb="FF63BE7B"/>
      </colorScale>
    </cfRule>
    <cfRule type="top10" dxfId="25" priority="2359" percent="1" rank="50"/>
    <cfRule type="dataBar" priority="2360">
      <dataBar>
        <cfvo type="percent" val="0.5"/>
        <cfvo type="max"/>
        <color rgb="FF638EC6"/>
      </dataBar>
      <extLst>
        <ext xmlns:x14="http://schemas.microsoft.com/office/spreadsheetml/2009/9/main" uri="{B025F937-C7B1-47D3-B67F-A62EFF666E3E}">
          <x14:id>{ABF31C3F-4F5B-479A-BFB9-DD6911BA3BC0}</x14:id>
        </ext>
      </extLst>
    </cfRule>
    <cfRule type="colorScale" priority="2361">
      <colorScale>
        <cfvo type="min"/>
        <cfvo type="max"/>
        <color rgb="FFFF7128"/>
        <color rgb="FFFFEF9C"/>
      </colorScale>
    </cfRule>
    <cfRule type="top10" dxfId="24" priority="2362" rank="50"/>
    <cfRule type="colorScale" priority="2356">
      <colorScale>
        <cfvo type="min"/>
        <cfvo type="percentile" val="50"/>
        <cfvo type="max"/>
        <color rgb="FFF8696B"/>
        <color rgb="FFFCFCFF"/>
        <color rgb="FF5A8AC6"/>
      </colorScale>
    </cfRule>
  </conditionalFormatting>
  <conditionalFormatting sqref="W8">
    <cfRule type="top10" dxfId="23" priority="921" rank="50"/>
    <cfRule type="colorScale" priority="922">
      <colorScale>
        <cfvo type="percent" val="0"/>
        <cfvo type="percentile" val="50"/>
        <cfvo type="max"/>
        <color rgb="FFF8696B"/>
        <color rgb="FFFFEB84"/>
        <color rgb="FF63BE7B"/>
      </colorScale>
    </cfRule>
    <cfRule type="colorScale" priority="924">
      <colorScale>
        <cfvo type="percent" val="50"/>
        <cfvo type="max"/>
        <color rgb="FFFF7128"/>
        <color rgb="FFFFEF9C"/>
      </colorScale>
    </cfRule>
    <cfRule type="colorScale" priority="920">
      <colorScale>
        <cfvo type="min"/>
        <cfvo type="max"/>
        <color rgb="FFFF7128"/>
        <color rgb="FFFFEF9C"/>
      </colorScale>
    </cfRule>
    <cfRule type="dataBar" priority="919">
      <dataBar>
        <cfvo type="percent" val="0.5"/>
        <cfvo type="max"/>
        <color rgb="FF638EC6"/>
      </dataBar>
      <extLst>
        <ext xmlns:x14="http://schemas.microsoft.com/office/spreadsheetml/2009/9/main" uri="{B025F937-C7B1-47D3-B67F-A62EFF666E3E}">
          <x14:id>{E9D7B954-9722-4742-89AF-9D6DDA7FF6D0}</x14:id>
        </ext>
      </extLst>
    </cfRule>
    <cfRule type="top10" dxfId="22" priority="918" percent="1" rank="50"/>
    <cfRule type="colorScale" priority="917">
      <colorScale>
        <cfvo type="min"/>
        <cfvo type="percentile" val="50"/>
        <cfvo type="max"/>
        <color rgb="FFF8696B"/>
        <color rgb="FFFFEB84"/>
        <color rgb="FF63BE7B"/>
      </colorScale>
    </cfRule>
    <cfRule type="colorScale" priority="916">
      <colorScale>
        <cfvo type="min"/>
        <cfvo type="max"/>
        <color rgb="FFFF7128"/>
        <color rgb="FFFFEF9C"/>
      </colorScale>
    </cfRule>
    <cfRule type="colorScale" priority="915">
      <colorScale>
        <cfvo type="min"/>
        <cfvo type="percentile" val="50"/>
        <cfvo type="max"/>
        <color rgb="FFF8696B"/>
        <color rgb="FFFCFCFF"/>
        <color rgb="FF5A8AC6"/>
      </colorScale>
    </cfRule>
    <cfRule type="iconSet" priority="914">
      <iconSet iconSet="3Arrows">
        <cfvo type="percent" val="0"/>
        <cfvo type="percent" val="33"/>
        <cfvo type="percent" val="67"/>
      </iconSet>
    </cfRule>
    <cfRule type="iconSet" priority="913">
      <iconSet iconSet="4Rating">
        <cfvo type="percent" val="0"/>
        <cfvo type="percent" val="25"/>
        <cfvo type="percent" val="50"/>
        <cfvo type="percent" val="75"/>
      </iconSet>
    </cfRule>
  </conditionalFormatting>
  <conditionalFormatting sqref="W9">
    <cfRule type="colorScale" priority="1334">
      <colorScale>
        <cfvo type="percent" val="50"/>
        <cfvo type="max"/>
        <color rgb="FFFF7128"/>
        <color rgb="FFFFEF9C"/>
      </colorScale>
    </cfRule>
    <cfRule type="colorScale" priority="1332">
      <colorScale>
        <cfvo type="percent" val="0"/>
        <cfvo type="percentile" val="50"/>
        <cfvo type="max"/>
        <color rgb="FFF8696B"/>
        <color rgb="FFFFEB84"/>
        <color rgb="FF63BE7B"/>
      </colorScale>
    </cfRule>
    <cfRule type="top10" dxfId="21" priority="1331" rank="50"/>
    <cfRule type="colorScale" priority="1330">
      <colorScale>
        <cfvo type="min"/>
        <cfvo type="max"/>
        <color rgb="FFFF7128"/>
        <color rgb="FFFFEF9C"/>
      </colorScale>
    </cfRule>
    <cfRule type="dataBar" priority="1329">
      <dataBar>
        <cfvo type="percent" val="0.5"/>
        <cfvo type="max"/>
        <color rgb="FF638EC6"/>
      </dataBar>
      <extLst>
        <ext xmlns:x14="http://schemas.microsoft.com/office/spreadsheetml/2009/9/main" uri="{B025F937-C7B1-47D3-B67F-A62EFF666E3E}">
          <x14:id>{5DB28E93-FB4D-4FC5-BC84-ED3A72559B4C}</x14:id>
        </ext>
      </extLst>
    </cfRule>
    <cfRule type="top10" dxfId="20" priority="1328" percent="1" rank="50"/>
    <cfRule type="colorScale" priority="1327">
      <colorScale>
        <cfvo type="min"/>
        <cfvo type="percentile" val="50"/>
        <cfvo type="max"/>
        <color rgb="FFF8696B"/>
        <color rgb="FFFFEB84"/>
        <color rgb="FF63BE7B"/>
      </colorScale>
    </cfRule>
    <cfRule type="colorScale" priority="1326">
      <colorScale>
        <cfvo type="min"/>
        <cfvo type="max"/>
        <color rgb="FFFF7128"/>
        <color rgb="FFFFEF9C"/>
      </colorScale>
    </cfRule>
    <cfRule type="colorScale" priority="1325">
      <colorScale>
        <cfvo type="min"/>
        <cfvo type="percentile" val="50"/>
        <cfvo type="max"/>
        <color rgb="FFF8696B"/>
        <color rgb="FFFCFCFF"/>
        <color rgb="FF5A8AC6"/>
      </colorScale>
    </cfRule>
    <cfRule type="iconSet" priority="1324">
      <iconSet iconSet="3Arrows">
        <cfvo type="percent" val="0"/>
        <cfvo type="percent" val="33"/>
        <cfvo type="percent" val="67"/>
      </iconSet>
    </cfRule>
    <cfRule type="iconSet" priority="1323">
      <iconSet iconSet="4Rating">
        <cfvo type="percent" val="0"/>
        <cfvo type="percent" val="25"/>
        <cfvo type="percent" val="50"/>
        <cfvo type="percent" val="75"/>
      </iconSet>
    </cfRule>
  </conditionalFormatting>
  <conditionalFormatting sqref="W10:W11">
    <cfRule type="iconSet" priority="2618">
      <iconSet iconSet="4Rating">
        <cfvo type="percent" val="0"/>
        <cfvo type="percent" val="25"/>
        <cfvo type="percent" val="50"/>
        <cfvo type="percent" val="75"/>
      </iconSet>
    </cfRule>
    <cfRule type="colorScale" priority="2629">
      <colorScale>
        <cfvo type="percent" val="50"/>
        <cfvo type="max"/>
        <color rgb="FFFF7128"/>
        <color rgb="FFFFEF9C"/>
      </colorScale>
    </cfRule>
    <cfRule type="iconSet" priority="2619">
      <iconSet iconSet="3Arrows">
        <cfvo type="percent" val="0"/>
        <cfvo type="percent" val="33"/>
        <cfvo type="percent" val="67"/>
      </iconSet>
    </cfRule>
    <cfRule type="colorScale" priority="2620">
      <colorScale>
        <cfvo type="min"/>
        <cfvo type="percentile" val="50"/>
        <cfvo type="max"/>
        <color rgb="FFF8696B"/>
        <color rgb="FFFCFCFF"/>
        <color rgb="FF5A8AC6"/>
      </colorScale>
    </cfRule>
    <cfRule type="colorScale" priority="2621">
      <colorScale>
        <cfvo type="min"/>
        <cfvo type="max"/>
        <color rgb="FFFF7128"/>
        <color rgb="FFFFEF9C"/>
      </colorScale>
    </cfRule>
    <cfRule type="colorScale" priority="2622">
      <colorScale>
        <cfvo type="min"/>
        <cfvo type="percentile" val="50"/>
        <cfvo type="max"/>
        <color rgb="FFF8696B"/>
        <color rgb="FFFFEB84"/>
        <color rgb="FF63BE7B"/>
      </colorScale>
    </cfRule>
    <cfRule type="top10" dxfId="19" priority="2623" percent="1" rank="50"/>
    <cfRule type="dataBar" priority="2624">
      <dataBar>
        <cfvo type="percent" val="0.5"/>
        <cfvo type="max"/>
        <color rgb="FF638EC6"/>
      </dataBar>
      <extLst>
        <ext xmlns:x14="http://schemas.microsoft.com/office/spreadsheetml/2009/9/main" uri="{B025F937-C7B1-47D3-B67F-A62EFF666E3E}">
          <x14:id>{D513C9B7-251D-4390-84E7-C729B5AB9E84}</x14:id>
        </ext>
      </extLst>
    </cfRule>
    <cfRule type="colorScale" priority="2625">
      <colorScale>
        <cfvo type="min"/>
        <cfvo type="max"/>
        <color rgb="FFFF7128"/>
        <color rgb="FFFFEF9C"/>
      </colorScale>
    </cfRule>
    <cfRule type="top10" dxfId="18" priority="2626" rank="50"/>
    <cfRule type="colorScale" priority="2627">
      <colorScale>
        <cfvo type="percent" val="0"/>
        <cfvo type="percentile" val="50"/>
        <cfvo type="max"/>
        <color rgb="FFF8696B"/>
        <color rgb="FFFFEB84"/>
        <color rgb="FF63BE7B"/>
      </colorScale>
    </cfRule>
  </conditionalFormatting>
  <conditionalFormatting sqref="W12">
    <cfRule type="iconSet" priority="2102">
      <iconSet iconSet="4Rating">
        <cfvo type="percent" val="0"/>
        <cfvo type="percent" val="25"/>
        <cfvo type="percent" val="50"/>
        <cfvo type="percent" val="75"/>
      </iconSet>
    </cfRule>
    <cfRule type="iconSet" priority="2103">
      <iconSet iconSet="3Arrows">
        <cfvo type="percent" val="0"/>
        <cfvo type="percent" val="33"/>
        <cfvo type="percent" val="67"/>
      </iconSet>
    </cfRule>
    <cfRule type="colorScale" priority="2104">
      <colorScale>
        <cfvo type="min"/>
        <cfvo type="percentile" val="50"/>
        <cfvo type="max"/>
        <color rgb="FFF8696B"/>
        <color rgb="FFFCFCFF"/>
        <color rgb="FF5A8AC6"/>
      </colorScale>
    </cfRule>
    <cfRule type="colorScale" priority="2105">
      <colorScale>
        <cfvo type="min"/>
        <cfvo type="max"/>
        <color rgb="FFFF7128"/>
        <color rgb="FFFFEF9C"/>
      </colorScale>
    </cfRule>
    <cfRule type="colorScale" priority="2106">
      <colorScale>
        <cfvo type="min"/>
        <cfvo type="percentile" val="50"/>
        <cfvo type="max"/>
        <color rgb="FFF8696B"/>
        <color rgb="FFFFEB84"/>
        <color rgb="FF63BE7B"/>
      </colorScale>
    </cfRule>
    <cfRule type="top10" dxfId="17" priority="2107" percent="1" rank="50"/>
    <cfRule type="dataBar" priority="2108">
      <dataBar>
        <cfvo type="percent" val="0.5"/>
        <cfvo type="max"/>
        <color rgb="FF638EC6"/>
      </dataBar>
      <extLst>
        <ext xmlns:x14="http://schemas.microsoft.com/office/spreadsheetml/2009/9/main" uri="{B025F937-C7B1-47D3-B67F-A62EFF666E3E}">
          <x14:id>{613BC6F1-5262-4B78-A71B-03F7B0DD1F78}</x14:id>
        </ext>
      </extLst>
    </cfRule>
    <cfRule type="colorScale" priority="2109">
      <colorScale>
        <cfvo type="min"/>
        <cfvo type="max"/>
        <color rgb="FFFF7128"/>
        <color rgb="FFFFEF9C"/>
      </colorScale>
    </cfRule>
    <cfRule type="top10" dxfId="16" priority="2110" rank="50"/>
    <cfRule type="colorScale" priority="2111">
      <colorScale>
        <cfvo type="percent" val="0"/>
        <cfvo type="percentile" val="50"/>
        <cfvo type="max"/>
        <color rgb="FFF8696B"/>
        <color rgb="FFFFEB84"/>
        <color rgb="FF63BE7B"/>
      </colorScale>
    </cfRule>
    <cfRule type="colorScale" priority="2113">
      <colorScale>
        <cfvo type="percent" val="50"/>
        <cfvo type="max"/>
        <color rgb="FFFF7128"/>
        <color rgb="FFFFEF9C"/>
      </colorScale>
    </cfRule>
  </conditionalFormatting>
  <conditionalFormatting sqref="W13">
    <cfRule type="top10" dxfId="15" priority="2532" percent="1" rank="50"/>
    <cfRule type="dataBar" priority="2533">
      <dataBar>
        <cfvo type="percent" val="0.5"/>
        <cfvo type="max"/>
        <color rgb="FF638EC6"/>
      </dataBar>
      <extLst>
        <ext xmlns:x14="http://schemas.microsoft.com/office/spreadsheetml/2009/9/main" uri="{B025F937-C7B1-47D3-B67F-A62EFF666E3E}">
          <x14:id>{9EB84A3A-DF97-4048-B367-16A3EFE5D38D}</x14:id>
        </ext>
      </extLst>
    </cfRule>
    <cfRule type="colorScale" priority="2534">
      <colorScale>
        <cfvo type="min"/>
        <cfvo type="max"/>
        <color rgb="FFFF7128"/>
        <color rgb="FFFFEF9C"/>
      </colorScale>
    </cfRule>
    <cfRule type="top10" dxfId="14" priority="2535" rank="50"/>
    <cfRule type="colorScale" priority="2536">
      <colorScale>
        <cfvo type="percent" val="0"/>
        <cfvo type="percentile" val="50"/>
        <cfvo type="max"/>
        <color rgb="FFF8696B"/>
        <color rgb="FFFFEB84"/>
        <color rgb="FF63BE7B"/>
      </colorScale>
    </cfRule>
    <cfRule type="colorScale" priority="2538">
      <colorScale>
        <cfvo type="percent" val="50"/>
        <cfvo type="max"/>
        <color rgb="FFFF7128"/>
        <color rgb="FFFFEF9C"/>
      </colorScale>
    </cfRule>
    <cfRule type="colorScale" priority="2531">
      <colorScale>
        <cfvo type="min"/>
        <cfvo type="percentile" val="50"/>
        <cfvo type="max"/>
        <color rgb="FFF8696B"/>
        <color rgb="FFFFEB84"/>
        <color rgb="FF63BE7B"/>
      </colorScale>
    </cfRule>
    <cfRule type="colorScale" priority="2530">
      <colorScale>
        <cfvo type="min"/>
        <cfvo type="max"/>
        <color rgb="FFFF7128"/>
        <color rgb="FFFFEF9C"/>
      </colorScale>
    </cfRule>
    <cfRule type="colorScale" priority="2529">
      <colorScale>
        <cfvo type="min"/>
        <cfvo type="percentile" val="50"/>
        <cfvo type="max"/>
        <color rgb="FFF8696B"/>
        <color rgb="FFFCFCFF"/>
        <color rgb="FF5A8AC6"/>
      </colorScale>
    </cfRule>
    <cfRule type="iconSet" priority="2528">
      <iconSet iconSet="3Arrows">
        <cfvo type="percent" val="0"/>
        <cfvo type="percent" val="33"/>
        <cfvo type="percent" val="67"/>
      </iconSet>
    </cfRule>
    <cfRule type="iconSet" priority="2527">
      <iconSet iconSet="4Rating">
        <cfvo type="percent" val="0"/>
        <cfvo type="percent" val="25"/>
        <cfvo type="percent" val="50"/>
        <cfvo type="percent" val="75"/>
      </iconSet>
    </cfRule>
  </conditionalFormatting>
  <conditionalFormatting sqref="W14">
    <cfRule type="colorScale" priority="2245">
      <colorScale>
        <cfvo type="min"/>
        <cfvo type="percentile" val="50"/>
        <cfvo type="max"/>
        <color rgb="FFF8696B"/>
        <color rgb="FFFCFCFF"/>
        <color rgb="FF5A8AC6"/>
      </colorScale>
    </cfRule>
    <cfRule type="colorScale" priority="2246">
      <colorScale>
        <cfvo type="min"/>
        <cfvo type="max"/>
        <color rgb="FFFF7128"/>
        <color rgb="FFFFEF9C"/>
      </colorScale>
    </cfRule>
    <cfRule type="colorScale" priority="2247">
      <colorScale>
        <cfvo type="min"/>
        <cfvo type="percentile" val="50"/>
        <cfvo type="max"/>
        <color rgb="FFF8696B"/>
        <color rgb="FFFFEB84"/>
        <color rgb="FF63BE7B"/>
      </colorScale>
    </cfRule>
    <cfRule type="top10" dxfId="13" priority="2248" percent="1" rank="50"/>
    <cfRule type="dataBar" priority="2249">
      <dataBar>
        <cfvo type="percent" val="0.5"/>
        <cfvo type="max"/>
        <color rgb="FF638EC6"/>
      </dataBar>
      <extLst>
        <ext xmlns:x14="http://schemas.microsoft.com/office/spreadsheetml/2009/9/main" uri="{B025F937-C7B1-47D3-B67F-A62EFF666E3E}">
          <x14:id>{056CA264-C15B-405D-8A4B-6D46B42B21BB}</x14:id>
        </ext>
      </extLst>
    </cfRule>
    <cfRule type="colorScale" priority="2250">
      <colorScale>
        <cfvo type="min"/>
        <cfvo type="max"/>
        <color rgb="FFFF7128"/>
        <color rgb="FFFFEF9C"/>
      </colorScale>
    </cfRule>
    <cfRule type="iconSet" priority="2244">
      <iconSet iconSet="3Arrows">
        <cfvo type="percent" val="0"/>
        <cfvo type="percent" val="33"/>
        <cfvo type="percent" val="67"/>
      </iconSet>
    </cfRule>
    <cfRule type="iconSet" priority="2243">
      <iconSet iconSet="4Rating">
        <cfvo type="percent" val="0"/>
        <cfvo type="percent" val="25"/>
        <cfvo type="percent" val="50"/>
        <cfvo type="percent" val="75"/>
      </iconSet>
    </cfRule>
    <cfRule type="colorScale" priority="2254">
      <colorScale>
        <cfvo type="percent" val="50"/>
        <cfvo type="max"/>
        <color rgb="FFFF7128"/>
        <color rgb="FFFFEF9C"/>
      </colorScale>
    </cfRule>
    <cfRule type="colorScale" priority="2252">
      <colorScale>
        <cfvo type="percent" val="0"/>
        <cfvo type="percentile" val="50"/>
        <cfvo type="max"/>
        <color rgb="FFF8696B"/>
        <color rgb="FFFFEB84"/>
        <color rgb="FF63BE7B"/>
      </colorScale>
    </cfRule>
    <cfRule type="top10" dxfId="12" priority="2251" rank="50"/>
  </conditionalFormatting>
  <conditionalFormatting sqref="W15">
    <cfRule type="colorScale" priority="850">
      <colorScale>
        <cfvo type="percent" val="50"/>
        <cfvo type="max"/>
        <color rgb="FFFF7128"/>
        <color rgb="FFFFEF9C"/>
      </colorScale>
    </cfRule>
    <cfRule type="colorScale" priority="849">
      <colorScale>
        <cfvo type="percent" val="0"/>
        <cfvo type="percentile" val="50"/>
        <cfvo type="max"/>
        <color rgb="FFF8696B"/>
        <color rgb="FFFFEB84"/>
        <color rgb="FF63BE7B"/>
      </colorScale>
    </cfRule>
    <cfRule type="iconSet" priority="840">
      <iconSet iconSet="4Rating">
        <cfvo type="percent" val="0"/>
        <cfvo type="percent" val="25"/>
        <cfvo type="percent" val="50"/>
        <cfvo type="percent" val="75"/>
      </iconSet>
    </cfRule>
    <cfRule type="iconSet" priority="841">
      <iconSet iconSet="3Arrows">
        <cfvo type="percent" val="0"/>
        <cfvo type="percent" val="33"/>
        <cfvo type="percent" val="67"/>
      </iconSet>
    </cfRule>
    <cfRule type="colorScale" priority="842">
      <colorScale>
        <cfvo type="min"/>
        <cfvo type="percentile" val="50"/>
        <cfvo type="max"/>
        <color rgb="FFF8696B"/>
        <color rgb="FFFCFCFF"/>
        <color rgb="FF5A8AC6"/>
      </colorScale>
    </cfRule>
    <cfRule type="colorScale" priority="843">
      <colorScale>
        <cfvo type="min"/>
        <cfvo type="max"/>
        <color rgb="FFFF7128"/>
        <color rgb="FFFFEF9C"/>
      </colorScale>
    </cfRule>
    <cfRule type="colorScale" priority="844">
      <colorScale>
        <cfvo type="min"/>
        <cfvo type="percentile" val="50"/>
        <cfvo type="max"/>
        <color rgb="FFF8696B"/>
        <color rgb="FFFFEB84"/>
        <color rgb="FF63BE7B"/>
      </colorScale>
    </cfRule>
    <cfRule type="top10" dxfId="11" priority="845" percent="1" rank="50"/>
    <cfRule type="dataBar" priority="846">
      <dataBar>
        <cfvo type="percent" val="0.5"/>
        <cfvo type="max"/>
        <color rgb="FF638EC6"/>
      </dataBar>
      <extLst>
        <ext xmlns:x14="http://schemas.microsoft.com/office/spreadsheetml/2009/9/main" uri="{B025F937-C7B1-47D3-B67F-A62EFF666E3E}">
          <x14:id>{775F5B27-FDD1-4BD1-825B-214B308A6B09}</x14:id>
        </ext>
      </extLst>
    </cfRule>
    <cfRule type="colorScale" priority="847">
      <colorScale>
        <cfvo type="min"/>
        <cfvo type="max"/>
        <color rgb="FFFF7128"/>
        <color rgb="FFFFEF9C"/>
      </colorScale>
    </cfRule>
    <cfRule type="top10" dxfId="10" priority="848" rank="50"/>
  </conditionalFormatting>
  <conditionalFormatting sqref="W16">
    <cfRule type="colorScale" priority="760">
      <colorScale>
        <cfvo type="percent" val="50"/>
        <cfvo type="max"/>
        <color rgb="FFFF7128"/>
        <color rgb="FFFFEF9C"/>
      </colorScale>
    </cfRule>
    <cfRule type="iconSet" priority="750">
      <iconSet iconSet="4Rating">
        <cfvo type="percent" val="0"/>
        <cfvo type="percent" val="25"/>
        <cfvo type="percent" val="50"/>
        <cfvo type="percent" val="75"/>
      </iconSet>
    </cfRule>
    <cfRule type="colorScale" priority="759">
      <colorScale>
        <cfvo type="percent" val="0"/>
        <cfvo type="percentile" val="50"/>
        <cfvo type="max"/>
        <color rgb="FFF8696B"/>
        <color rgb="FFFFEB84"/>
        <color rgb="FF63BE7B"/>
      </colorScale>
    </cfRule>
    <cfRule type="iconSet" priority="751">
      <iconSet iconSet="3Arrows">
        <cfvo type="percent" val="0"/>
        <cfvo type="percent" val="33"/>
        <cfvo type="percent" val="67"/>
      </iconSet>
    </cfRule>
    <cfRule type="colorScale" priority="752">
      <colorScale>
        <cfvo type="min"/>
        <cfvo type="percentile" val="50"/>
        <cfvo type="max"/>
        <color rgb="FFF8696B"/>
        <color rgb="FFFCFCFF"/>
        <color rgb="FF5A8AC6"/>
      </colorScale>
    </cfRule>
    <cfRule type="colorScale" priority="753">
      <colorScale>
        <cfvo type="min"/>
        <cfvo type="max"/>
        <color rgb="FFFF7128"/>
        <color rgb="FFFFEF9C"/>
      </colorScale>
    </cfRule>
    <cfRule type="colorScale" priority="754">
      <colorScale>
        <cfvo type="min"/>
        <cfvo type="percentile" val="50"/>
        <cfvo type="max"/>
        <color rgb="FFF8696B"/>
        <color rgb="FFFFEB84"/>
        <color rgb="FF63BE7B"/>
      </colorScale>
    </cfRule>
    <cfRule type="top10" dxfId="9" priority="755" percent="1" rank="50"/>
    <cfRule type="dataBar" priority="756">
      <dataBar>
        <cfvo type="percent" val="0.5"/>
        <cfvo type="max"/>
        <color rgb="FF638EC6"/>
      </dataBar>
      <extLst>
        <ext xmlns:x14="http://schemas.microsoft.com/office/spreadsheetml/2009/9/main" uri="{B025F937-C7B1-47D3-B67F-A62EFF666E3E}">
          <x14:id>{5867227E-6138-4FF0-B035-22C455705B36}</x14:id>
        </ext>
      </extLst>
    </cfRule>
    <cfRule type="colorScale" priority="757">
      <colorScale>
        <cfvo type="min"/>
        <cfvo type="max"/>
        <color rgb="FFFF7128"/>
        <color rgb="FFFFEF9C"/>
      </colorScale>
    </cfRule>
    <cfRule type="top10" dxfId="8" priority="758" rank="50"/>
  </conditionalFormatting>
  <conditionalFormatting sqref="W17">
    <cfRule type="colorScale" priority="505">
      <colorScale>
        <cfvo type="percent" val="50"/>
        <cfvo type="max"/>
        <color rgb="FFFF7128"/>
        <color rgb="FFFFEF9C"/>
      </colorScale>
    </cfRule>
    <cfRule type="colorScale" priority="504">
      <colorScale>
        <cfvo type="percent" val="0"/>
        <cfvo type="percentile" val="50"/>
        <cfvo type="max"/>
        <color rgb="FFF8696B"/>
        <color rgb="FFFFEB84"/>
        <color rgb="FF63BE7B"/>
      </colorScale>
    </cfRule>
    <cfRule type="top10" dxfId="7" priority="503" rank="50"/>
    <cfRule type="colorScale" priority="502">
      <colorScale>
        <cfvo type="min"/>
        <cfvo type="max"/>
        <color rgb="FFFF7128"/>
        <color rgb="FFFFEF9C"/>
      </colorScale>
    </cfRule>
    <cfRule type="top10" dxfId="6" priority="500" percent="1" rank="50"/>
    <cfRule type="colorScale" priority="499">
      <colorScale>
        <cfvo type="min"/>
        <cfvo type="percentile" val="50"/>
        <cfvo type="max"/>
        <color rgb="FFF8696B"/>
        <color rgb="FFFFEB84"/>
        <color rgb="FF63BE7B"/>
      </colorScale>
    </cfRule>
    <cfRule type="colorScale" priority="498">
      <colorScale>
        <cfvo type="min"/>
        <cfvo type="max"/>
        <color rgb="FFFF7128"/>
        <color rgb="FFFFEF9C"/>
      </colorScale>
    </cfRule>
    <cfRule type="colorScale" priority="497">
      <colorScale>
        <cfvo type="min"/>
        <cfvo type="percentile" val="50"/>
        <cfvo type="max"/>
        <color rgb="FFF8696B"/>
        <color rgb="FFFCFCFF"/>
        <color rgb="FF5A8AC6"/>
      </colorScale>
    </cfRule>
    <cfRule type="iconSet" priority="496">
      <iconSet iconSet="3Arrows">
        <cfvo type="percent" val="0"/>
        <cfvo type="percent" val="33"/>
        <cfvo type="percent" val="67"/>
      </iconSet>
    </cfRule>
    <cfRule type="iconSet" priority="495">
      <iconSet iconSet="4Rating">
        <cfvo type="percent" val="0"/>
        <cfvo type="percent" val="25"/>
        <cfvo type="percent" val="50"/>
        <cfvo type="percent" val="75"/>
      </iconSet>
    </cfRule>
    <cfRule type="dataBar" priority="501">
      <dataBar>
        <cfvo type="percent" val="0.5"/>
        <cfvo type="max"/>
        <color rgb="FF638EC6"/>
      </dataBar>
      <extLst>
        <ext xmlns:x14="http://schemas.microsoft.com/office/spreadsheetml/2009/9/main" uri="{B025F937-C7B1-47D3-B67F-A62EFF666E3E}">
          <x14:id>{86EF35A8-346F-4291-9246-D147DCFDDB5F}</x14:id>
        </ext>
      </extLst>
    </cfRule>
  </conditionalFormatting>
  <conditionalFormatting sqref="W18">
    <cfRule type="iconSet" priority="352">
      <iconSet iconSet="4Rating">
        <cfvo type="percent" val="0"/>
        <cfvo type="percent" val="25"/>
        <cfvo type="percent" val="50"/>
        <cfvo type="percent" val="75"/>
      </iconSet>
    </cfRule>
    <cfRule type="iconSet" priority="353">
      <iconSet iconSet="3Arrows">
        <cfvo type="percent" val="0"/>
        <cfvo type="percent" val="33"/>
        <cfvo type="percent" val="67"/>
      </iconSet>
    </cfRule>
    <cfRule type="colorScale" priority="362">
      <colorScale>
        <cfvo type="percent" val="50"/>
        <cfvo type="max"/>
        <color rgb="FFFF7128"/>
        <color rgb="FFFFEF9C"/>
      </colorScale>
    </cfRule>
    <cfRule type="colorScale" priority="361">
      <colorScale>
        <cfvo type="percent" val="0"/>
        <cfvo type="percentile" val="50"/>
        <cfvo type="max"/>
        <color rgb="FFF8696B"/>
        <color rgb="FFFFEB84"/>
        <color rgb="FF63BE7B"/>
      </colorScale>
    </cfRule>
    <cfRule type="top10" dxfId="5" priority="360" rank="50"/>
    <cfRule type="colorScale" priority="359">
      <colorScale>
        <cfvo type="min"/>
        <cfvo type="max"/>
        <color rgb="FFFF7128"/>
        <color rgb="FFFFEF9C"/>
      </colorScale>
    </cfRule>
    <cfRule type="dataBar" priority="358">
      <dataBar>
        <cfvo type="percent" val="0.5"/>
        <cfvo type="max"/>
        <color rgb="FF638EC6"/>
      </dataBar>
      <extLst>
        <ext xmlns:x14="http://schemas.microsoft.com/office/spreadsheetml/2009/9/main" uri="{B025F937-C7B1-47D3-B67F-A62EFF666E3E}">
          <x14:id>{B1DE3934-95BD-324D-802A-4293BE48E05A}</x14:id>
        </ext>
      </extLst>
    </cfRule>
    <cfRule type="top10" dxfId="4" priority="357" percent="1" rank="50"/>
    <cfRule type="colorScale" priority="356">
      <colorScale>
        <cfvo type="min"/>
        <cfvo type="percentile" val="50"/>
        <cfvo type="max"/>
        <color rgb="FFF8696B"/>
        <color rgb="FFFFEB84"/>
        <color rgb="FF63BE7B"/>
      </colorScale>
    </cfRule>
    <cfRule type="colorScale" priority="355">
      <colorScale>
        <cfvo type="min"/>
        <cfvo type="max"/>
        <color rgb="FFFF7128"/>
        <color rgb="FFFFEF9C"/>
      </colorScale>
    </cfRule>
    <cfRule type="colorScale" priority="354">
      <colorScale>
        <cfvo type="min"/>
        <cfvo type="percentile" val="50"/>
        <cfvo type="max"/>
        <color rgb="FFF8696B"/>
        <color rgb="FFFCFCFF"/>
        <color rgb="FF5A8AC6"/>
      </colorScale>
    </cfRule>
  </conditionalFormatting>
  <conditionalFormatting sqref="W19">
    <cfRule type="top10" dxfId="3" priority="112" percent="1" rank="50"/>
    <cfRule type="colorScale" priority="117">
      <colorScale>
        <cfvo type="percent" val="50"/>
        <cfvo type="max"/>
        <color rgb="FFFF7128"/>
        <color rgb="FFFFEF9C"/>
      </colorScale>
    </cfRule>
    <cfRule type="colorScale" priority="116">
      <colorScale>
        <cfvo type="percent" val="0"/>
        <cfvo type="percentile" val="50"/>
        <cfvo type="max"/>
        <color rgb="FFF8696B"/>
        <color rgb="FFFFEB84"/>
        <color rgb="FF63BE7B"/>
      </colorScale>
    </cfRule>
    <cfRule type="top10" dxfId="2" priority="115" rank="50"/>
    <cfRule type="colorScale" priority="114">
      <colorScale>
        <cfvo type="min"/>
        <cfvo type="max"/>
        <color rgb="FFFF7128"/>
        <color rgb="FFFFEF9C"/>
      </colorScale>
    </cfRule>
    <cfRule type="dataBar" priority="113">
      <dataBar>
        <cfvo type="percent" val="0.5"/>
        <cfvo type="max"/>
        <color rgb="FF638EC6"/>
      </dataBar>
      <extLst>
        <ext xmlns:x14="http://schemas.microsoft.com/office/spreadsheetml/2009/9/main" uri="{B025F937-C7B1-47D3-B67F-A62EFF666E3E}">
          <x14:id>{6B30BBA3-33CC-4318-9381-F622D1A93EF4}</x14:id>
        </ext>
      </extLst>
    </cfRule>
    <cfRule type="colorScale" priority="111">
      <colorScale>
        <cfvo type="min"/>
        <cfvo type="percentile" val="50"/>
        <cfvo type="max"/>
        <color rgb="FFF8696B"/>
        <color rgb="FFFFEB84"/>
        <color rgb="FF63BE7B"/>
      </colorScale>
    </cfRule>
    <cfRule type="colorScale" priority="110">
      <colorScale>
        <cfvo type="min"/>
        <cfvo type="max"/>
        <color rgb="FFFF7128"/>
        <color rgb="FFFFEF9C"/>
      </colorScale>
    </cfRule>
    <cfRule type="colorScale" priority="109">
      <colorScale>
        <cfvo type="min"/>
        <cfvo type="percentile" val="50"/>
        <cfvo type="max"/>
        <color rgb="FFF8696B"/>
        <color rgb="FFFCFCFF"/>
        <color rgb="FF5A8AC6"/>
      </colorScale>
    </cfRule>
    <cfRule type="iconSet" priority="108">
      <iconSet iconSet="3Arrows">
        <cfvo type="percent" val="0"/>
        <cfvo type="percent" val="33"/>
        <cfvo type="percent" val="67"/>
      </iconSet>
    </cfRule>
    <cfRule type="iconSet" priority="107">
      <iconSet iconSet="4Rating">
        <cfvo type="percent" val="0"/>
        <cfvo type="percent" val="25"/>
        <cfvo type="percent" val="50"/>
        <cfvo type="percent" val="75"/>
      </iconSet>
    </cfRule>
  </conditionalFormatting>
  <conditionalFormatting sqref="W20:W26">
    <cfRule type="iconSet" priority="160">
      <iconSet iconSet="4Rating">
        <cfvo type="percent" val="0"/>
        <cfvo type="percent" val="25"/>
        <cfvo type="percent" val="50"/>
        <cfvo type="percent" val="75"/>
      </iconSet>
    </cfRule>
    <cfRule type="iconSet" priority="161">
      <iconSet iconSet="3Arrows">
        <cfvo type="percent" val="0"/>
        <cfvo type="percent" val="33"/>
        <cfvo type="percent" val="67"/>
      </iconSet>
    </cfRule>
    <cfRule type="colorScale" priority="162">
      <colorScale>
        <cfvo type="min"/>
        <cfvo type="percentile" val="50"/>
        <cfvo type="max"/>
        <color rgb="FFF8696B"/>
        <color rgb="FFFCFCFF"/>
        <color rgb="FF5A8AC6"/>
      </colorScale>
    </cfRule>
    <cfRule type="colorScale" priority="163">
      <colorScale>
        <cfvo type="min"/>
        <cfvo type="max"/>
        <color rgb="FFFF7128"/>
        <color rgb="FFFFEF9C"/>
      </colorScale>
    </cfRule>
    <cfRule type="colorScale" priority="164">
      <colorScale>
        <cfvo type="min"/>
        <cfvo type="percentile" val="50"/>
        <cfvo type="max"/>
        <color rgb="FFF8696B"/>
        <color rgb="FFFFEB84"/>
        <color rgb="FF63BE7B"/>
      </colorScale>
    </cfRule>
    <cfRule type="top10" dxfId="1" priority="165" percent="1" rank="50"/>
    <cfRule type="dataBar" priority="166">
      <dataBar>
        <cfvo type="percent" val="0.5"/>
        <cfvo type="max"/>
        <color rgb="FF638EC6"/>
      </dataBar>
      <extLst>
        <ext xmlns:x14="http://schemas.microsoft.com/office/spreadsheetml/2009/9/main" uri="{B025F937-C7B1-47D3-B67F-A62EFF666E3E}">
          <x14:id>{210AEF1A-4850-8A46-B0F3-2F4DCEA7FC95}</x14:id>
        </ext>
      </extLst>
    </cfRule>
    <cfRule type="colorScale" priority="167">
      <colorScale>
        <cfvo type="min"/>
        <cfvo type="max"/>
        <color rgb="FFFF7128"/>
        <color rgb="FFFFEF9C"/>
      </colorScale>
    </cfRule>
    <cfRule type="top10" dxfId="0" priority="168" rank="50"/>
    <cfRule type="colorScale" priority="169">
      <colorScale>
        <cfvo type="percent" val="0"/>
        <cfvo type="percentile" val="50"/>
        <cfvo type="max"/>
        <color rgb="FFF8696B"/>
        <color rgb="FFFFEB84"/>
        <color rgb="FF63BE7B"/>
      </colorScale>
    </cfRule>
    <cfRule type="colorScale" priority="170">
      <colorScale>
        <cfvo type="percent" val="50"/>
        <cfvo type="max"/>
        <color rgb="FFFF7128"/>
        <color rgb="FFFFEF9C"/>
      </colorScale>
    </cfRule>
  </conditionalFormatting>
  <dataValidations count="8">
    <dataValidation type="list" allowBlank="1" showInputMessage="1" showErrorMessage="1" sqref="F16" xr:uid="{55DF5E05-0D4E-41FA-B727-960AE4903BE7}">
      <formula1>$AX$19:$AX$26</formula1>
    </dataValidation>
    <dataValidation type="list" allowBlank="1" showInputMessage="1" showErrorMessage="1" sqref="E16" xr:uid="{9CE6BD0D-C479-4B08-8B31-9D74C6142879}">
      <formula1>$AW$19:$AW$25</formula1>
    </dataValidation>
    <dataValidation type="list" allowBlank="1" showInputMessage="1" showErrorMessage="1" sqref="D16" xr:uid="{D460B395-1F5F-4C1F-B2DB-6D941646B929}">
      <formula1>$AV$19:$AV$20</formula1>
    </dataValidation>
    <dataValidation type="list" allowBlank="1" showInputMessage="1" showErrorMessage="1" sqref="C16" xr:uid="{B1FD828D-8C0A-4642-9F34-F1D640109619}">
      <formula1>$AU$19:$AU$20</formula1>
    </dataValidation>
    <dataValidation type="list" allowBlank="1" showInputMessage="1" showErrorMessage="1" sqref="F17" xr:uid="{1C67AD4A-C08F-40DB-9407-F66DD5C31B6C}">
      <formula1>$AX$28:$AX$35</formula1>
    </dataValidation>
    <dataValidation type="list" allowBlank="1" showInputMessage="1" showErrorMessage="1" sqref="E17" xr:uid="{6188345B-B3D8-46B2-B282-BB6825AE84F8}">
      <formula1>$AW$28:$AW$34</formula1>
    </dataValidation>
    <dataValidation type="list" allowBlank="1" showInputMessage="1" showErrorMessage="1" sqref="D17" xr:uid="{608B6846-F97F-40F9-9749-3C85678D09A9}">
      <formula1>$AV$28:$AV$29</formula1>
    </dataValidation>
    <dataValidation type="list" allowBlank="1" showInputMessage="1" showErrorMessage="1" sqref="C17" xr:uid="{42350ACB-78B1-44E0-8B4A-744F93CC6F92}">
      <formula1>$AU$28:$AU$29</formula1>
    </dataValidation>
  </dataValidations>
  <printOptions horizontalCentered="1" verticalCentered="1"/>
  <pageMargins left="1.1023622047244095" right="0.51181102362204722" top="0.94488188976377963" bottom="0.74803149606299213" header="0.31496062992125984" footer="0.31496062992125984"/>
  <pageSetup paperSize="5" scale="20" fitToHeight="0" orientation="landscape" horizontalDpi="4294967294" r:id="rId1"/>
  <drawing r:id="rId2"/>
  <extLst>
    <ext xmlns:x14="http://schemas.microsoft.com/office/spreadsheetml/2009/9/main" uri="{78C0D931-6437-407d-A8EE-F0AAD7539E65}">
      <x14:conditionalFormattings>
        <x14:conditionalFormatting xmlns:xm="http://schemas.microsoft.com/office/excel/2006/main">
          <x14:cfRule type="dataBar" id="{9984220C-C2C4-40A5-A189-882BC07022B3}">
            <x14:dataBar minLength="0" maxLength="100" gradient="0">
              <x14:cfvo type="percent">
                <xm:f>0.5</xm:f>
              </x14:cfvo>
              <x14:cfvo type="max"/>
              <x14:negativeFillColor rgb="FFFF0000"/>
              <x14:axisColor rgb="FF000000"/>
            </x14:dataBar>
          </x14:cfRule>
          <xm:sqref>J6</xm:sqref>
        </x14:conditionalFormatting>
        <x14:conditionalFormatting xmlns:xm="http://schemas.microsoft.com/office/excel/2006/main">
          <x14:cfRule type="dataBar" id="{F30ACB08-81DB-41B0-A850-91FDF9C5775B}">
            <x14:dataBar minLength="0" maxLength="100" gradient="0">
              <x14:cfvo type="percent">
                <xm:f>0.5</xm:f>
              </x14:cfvo>
              <x14:cfvo type="max"/>
              <x14:negativeFillColor rgb="FFFF0000"/>
              <x14:axisColor rgb="FF000000"/>
            </x14:dataBar>
          </x14:cfRule>
          <xm:sqref>J7</xm:sqref>
        </x14:conditionalFormatting>
        <x14:conditionalFormatting xmlns:xm="http://schemas.microsoft.com/office/excel/2006/main">
          <x14:cfRule type="dataBar" id="{2B85552E-D7B3-42C5-AE22-C0194992AF88}">
            <x14:dataBar minLength="0" maxLength="100" gradient="0">
              <x14:cfvo type="percent">
                <xm:f>0.5</xm:f>
              </x14:cfvo>
              <x14:cfvo type="max"/>
              <x14:negativeFillColor rgb="FFFF0000"/>
              <x14:axisColor rgb="FF000000"/>
            </x14:dataBar>
          </x14:cfRule>
          <xm:sqref>J8</xm:sqref>
        </x14:conditionalFormatting>
        <x14:conditionalFormatting xmlns:xm="http://schemas.microsoft.com/office/excel/2006/main">
          <x14:cfRule type="dataBar" id="{7353000D-8868-427A-80C2-6979A24C0070}">
            <x14:dataBar minLength="0" maxLength="100" gradient="0">
              <x14:cfvo type="percent">
                <xm:f>0.5</xm:f>
              </x14:cfvo>
              <x14:cfvo type="max"/>
              <x14:negativeFillColor rgb="FFFF0000"/>
              <x14:axisColor rgb="FF000000"/>
            </x14:dataBar>
          </x14:cfRule>
          <xm:sqref>J9</xm:sqref>
        </x14:conditionalFormatting>
        <x14:conditionalFormatting xmlns:xm="http://schemas.microsoft.com/office/excel/2006/main">
          <x14:cfRule type="dataBar" id="{2F75E10F-56BE-4CE3-8A70-4409A48F85C5}">
            <x14:dataBar minLength="0" maxLength="100" gradient="0">
              <x14:cfvo type="percent">
                <xm:f>0.5</xm:f>
              </x14:cfvo>
              <x14:cfvo type="max"/>
              <x14:negativeFillColor rgb="FFFF0000"/>
              <x14:axisColor rgb="FF000000"/>
            </x14:dataBar>
          </x14:cfRule>
          <xm:sqref>J10</xm:sqref>
        </x14:conditionalFormatting>
        <x14:conditionalFormatting xmlns:xm="http://schemas.microsoft.com/office/excel/2006/main">
          <x14:cfRule type="dataBar" id="{1A059E00-D89D-4D93-B9C8-2448DDB441C7}">
            <x14:dataBar minLength="0" maxLength="100" gradient="0">
              <x14:cfvo type="percent">
                <xm:f>0.5</xm:f>
              </x14:cfvo>
              <x14:cfvo type="max"/>
              <x14:negativeFillColor rgb="FFFF0000"/>
              <x14:axisColor rgb="FF000000"/>
            </x14:dataBar>
          </x14:cfRule>
          <xm:sqref>J11</xm:sqref>
        </x14:conditionalFormatting>
        <x14:conditionalFormatting xmlns:xm="http://schemas.microsoft.com/office/excel/2006/main">
          <x14:cfRule type="dataBar" id="{233C4315-272C-4A50-ABBB-F4DE6E880784}">
            <x14:dataBar minLength="0" maxLength="100" gradient="0">
              <x14:cfvo type="percent">
                <xm:f>0.5</xm:f>
              </x14:cfvo>
              <x14:cfvo type="max"/>
              <x14:negativeFillColor rgb="FFFF0000"/>
              <x14:axisColor rgb="FF000000"/>
            </x14:dataBar>
          </x14:cfRule>
          <xm:sqref>J12</xm:sqref>
        </x14:conditionalFormatting>
        <x14:conditionalFormatting xmlns:xm="http://schemas.microsoft.com/office/excel/2006/main">
          <x14:cfRule type="dataBar" id="{BB983E57-3C22-4BFF-BAFF-ABAC3FF7BCBF}">
            <x14:dataBar minLength="0" maxLength="100" gradient="0">
              <x14:cfvo type="percent">
                <xm:f>0.5</xm:f>
              </x14:cfvo>
              <x14:cfvo type="max"/>
              <x14:negativeFillColor rgb="FFFF0000"/>
              <x14:axisColor rgb="FF000000"/>
            </x14:dataBar>
          </x14:cfRule>
          <xm:sqref>J13</xm:sqref>
        </x14:conditionalFormatting>
        <x14:conditionalFormatting xmlns:xm="http://schemas.microsoft.com/office/excel/2006/main">
          <x14:cfRule type="dataBar" id="{679B0162-62D6-4CBA-9ED9-E7DA3C664213}">
            <x14:dataBar minLength="0" maxLength="100" gradient="0">
              <x14:cfvo type="percent">
                <xm:f>0.5</xm:f>
              </x14:cfvo>
              <x14:cfvo type="max"/>
              <x14:negativeFillColor rgb="FFFF0000"/>
              <x14:axisColor rgb="FF000000"/>
            </x14:dataBar>
          </x14:cfRule>
          <xm:sqref>J14</xm:sqref>
        </x14:conditionalFormatting>
        <x14:conditionalFormatting xmlns:xm="http://schemas.microsoft.com/office/excel/2006/main">
          <x14:cfRule type="dataBar" id="{347E06B9-1F58-49E9-950E-8FC9DD611CB3}">
            <x14:dataBar axisPosition="none">
              <x14:cfvo type="percent">
                <xm:f>0.5</xm:f>
              </x14:cfvo>
              <x14:cfvo type="max"/>
              <x14:negativeFillColor rgb="FF638EC6"/>
            </x14:dataBar>
          </x14:cfRule>
          <xm:sqref>J15</xm:sqref>
        </x14:conditionalFormatting>
        <x14:conditionalFormatting xmlns:xm="http://schemas.microsoft.com/office/excel/2006/main">
          <x14:cfRule type="dataBar" id="{87B2F08C-9A7B-4431-8451-49B039242D70}">
            <x14:dataBar minLength="0" maxLength="100" gradient="0">
              <x14:cfvo type="percent">
                <xm:f>0.5</xm:f>
              </x14:cfvo>
              <x14:cfvo type="max"/>
              <x14:negativeFillColor rgb="FFFF0000"/>
              <x14:axisColor rgb="FF000000"/>
            </x14:dataBar>
          </x14:cfRule>
          <xm:sqref>J16</xm:sqref>
        </x14:conditionalFormatting>
        <x14:conditionalFormatting xmlns:xm="http://schemas.microsoft.com/office/excel/2006/main">
          <x14:cfRule type="dataBar" id="{F9BF0755-9CEC-4B5B-8867-97A8A9C190D7}">
            <x14:dataBar axisPosition="none">
              <x14:cfvo type="percent">
                <xm:f>0.5</xm:f>
              </x14:cfvo>
              <x14:cfvo type="max"/>
              <x14:negativeFillColor rgb="FF638EC6"/>
            </x14:dataBar>
          </x14:cfRule>
          <xm:sqref>J17</xm:sqref>
        </x14:conditionalFormatting>
        <x14:conditionalFormatting xmlns:xm="http://schemas.microsoft.com/office/excel/2006/main">
          <x14:cfRule type="dataBar" id="{58BFFB8A-78AD-3449-889B-2AF30C210E60}">
            <x14:dataBar axisPosition="none">
              <x14:cfvo type="percent">
                <xm:f>0.5</xm:f>
              </x14:cfvo>
              <x14:cfvo type="max"/>
              <x14:negativeFillColor rgb="FF638EC6"/>
            </x14:dataBar>
          </x14:cfRule>
          <xm:sqref>J18</xm:sqref>
        </x14:conditionalFormatting>
        <x14:conditionalFormatting xmlns:xm="http://schemas.microsoft.com/office/excel/2006/main">
          <x14:cfRule type="dataBar" id="{24738414-09E0-40C1-A89A-56295CBF0DE4}">
            <x14:dataBar minLength="0" maxLength="100" gradient="0">
              <x14:cfvo type="percent">
                <xm:f>0.5</xm:f>
              </x14:cfvo>
              <x14:cfvo type="max"/>
              <x14:negativeFillColor rgb="FFFF0000"/>
              <x14:axisColor rgb="FF000000"/>
            </x14:dataBar>
          </x14:cfRule>
          <xm:sqref>J19</xm:sqref>
        </x14:conditionalFormatting>
        <x14:conditionalFormatting xmlns:xm="http://schemas.microsoft.com/office/excel/2006/main">
          <x14:cfRule type="dataBar" id="{4CB9528B-B4BA-2D48-89A8-C0E4E490C01F}">
            <x14:dataBar axisPosition="none">
              <x14:cfvo type="percent">
                <xm:f>0.5</xm:f>
              </x14:cfvo>
              <x14:cfvo type="max"/>
              <x14:negativeFillColor rgb="FF638EC6"/>
            </x14:dataBar>
          </x14:cfRule>
          <xm:sqref>J20:J26</xm:sqref>
        </x14:conditionalFormatting>
        <x14:conditionalFormatting xmlns:xm="http://schemas.microsoft.com/office/excel/2006/main">
          <x14:cfRule type="dataBar" id="{C3C1891B-9D52-40A2-A5B9-143CAFEB765D}">
            <x14:dataBar minLength="0" maxLength="100" gradient="0">
              <x14:cfvo type="percent">
                <xm:f>0.5</xm:f>
              </x14:cfvo>
              <x14:cfvo type="max"/>
              <x14:negativeFillColor rgb="FFFF0000"/>
              <x14:axisColor rgb="FF000000"/>
            </x14:dataBar>
          </x14:cfRule>
          <xm:sqref>L6</xm:sqref>
        </x14:conditionalFormatting>
        <x14:conditionalFormatting xmlns:xm="http://schemas.microsoft.com/office/excel/2006/main">
          <x14:cfRule type="dataBar" id="{0C697858-BDA0-476D-B4A6-423CD8E45234}">
            <x14:dataBar minLength="0" maxLength="100" gradient="0">
              <x14:cfvo type="percent">
                <xm:f>0.5</xm:f>
              </x14:cfvo>
              <x14:cfvo type="max"/>
              <x14:negativeFillColor rgb="FFFF0000"/>
              <x14:axisColor rgb="FF000000"/>
            </x14:dataBar>
          </x14:cfRule>
          <xm:sqref>L7</xm:sqref>
        </x14:conditionalFormatting>
        <x14:conditionalFormatting xmlns:xm="http://schemas.microsoft.com/office/excel/2006/main">
          <x14:cfRule type="dataBar" id="{E704CBDD-E43D-4DD6-93FB-448C53B382D0}">
            <x14:dataBar minLength="0" maxLength="100" gradient="0">
              <x14:cfvo type="percent">
                <xm:f>0.5</xm:f>
              </x14:cfvo>
              <x14:cfvo type="max"/>
              <x14:negativeFillColor rgb="FFFF0000"/>
              <x14:axisColor rgb="FF000000"/>
            </x14:dataBar>
          </x14:cfRule>
          <xm:sqref>L8</xm:sqref>
        </x14:conditionalFormatting>
        <x14:conditionalFormatting xmlns:xm="http://schemas.microsoft.com/office/excel/2006/main">
          <x14:cfRule type="dataBar" id="{7FCCBB66-C587-44EC-9C72-C24962C12C82}">
            <x14:dataBar minLength="0" maxLength="100" gradient="0">
              <x14:cfvo type="percent">
                <xm:f>0.5</xm:f>
              </x14:cfvo>
              <x14:cfvo type="max"/>
              <x14:negativeFillColor rgb="FFFF0000"/>
              <x14:axisColor rgb="FF000000"/>
            </x14:dataBar>
          </x14:cfRule>
          <xm:sqref>L9</xm:sqref>
        </x14:conditionalFormatting>
        <x14:conditionalFormatting xmlns:xm="http://schemas.microsoft.com/office/excel/2006/main">
          <x14:cfRule type="dataBar" id="{3B0387F0-954F-42A1-BB0C-52D4E604EB4F}">
            <x14:dataBar minLength="0" maxLength="100" gradient="0">
              <x14:cfvo type="percent">
                <xm:f>0.5</xm:f>
              </x14:cfvo>
              <x14:cfvo type="max"/>
              <x14:negativeFillColor rgb="FFFF0000"/>
              <x14:axisColor rgb="FF000000"/>
            </x14:dataBar>
          </x14:cfRule>
          <xm:sqref>L10</xm:sqref>
        </x14:conditionalFormatting>
        <x14:conditionalFormatting xmlns:xm="http://schemas.microsoft.com/office/excel/2006/main">
          <x14:cfRule type="dataBar" id="{EB7C426E-A39D-4F80-979D-29BD45ACD7FA}">
            <x14:dataBar minLength="0" maxLength="100" gradient="0">
              <x14:cfvo type="percent">
                <xm:f>0.5</xm:f>
              </x14:cfvo>
              <x14:cfvo type="max"/>
              <x14:negativeFillColor rgb="FFFF0000"/>
              <x14:axisColor rgb="FF000000"/>
            </x14:dataBar>
          </x14:cfRule>
          <xm:sqref>L11</xm:sqref>
        </x14:conditionalFormatting>
        <x14:conditionalFormatting xmlns:xm="http://schemas.microsoft.com/office/excel/2006/main">
          <x14:cfRule type="dataBar" id="{BC55B727-793D-4DEE-8E79-EADB55081FDF}">
            <x14:dataBar minLength="0" maxLength="100" gradient="0">
              <x14:cfvo type="percent">
                <xm:f>0.5</xm:f>
              </x14:cfvo>
              <x14:cfvo type="max"/>
              <x14:negativeFillColor rgb="FFFF0000"/>
              <x14:axisColor rgb="FF000000"/>
            </x14:dataBar>
          </x14:cfRule>
          <xm:sqref>L12</xm:sqref>
        </x14:conditionalFormatting>
        <x14:conditionalFormatting xmlns:xm="http://schemas.microsoft.com/office/excel/2006/main">
          <x14:cfRule type="dataBar" id="{B17405A8-E8DD-462F-B0DE-7C2270A77377}">
            <x14:dataBar minLength="0" maxLength="100" gradient="0">
              <x14:cfvo type="percent">
                <xm:f>0.5</xm:f>
              </x14:cfvo>
              <x14:cfvo type="max"/>
              <x14:negativeFillColor rgb="FFFF0000"/>
              <x14:axisColor rgb="FF000000"/>
            </x14:dataBar>
          </x14:cfRule>
          <xm:sqref>L13</xm:sqref>
        </x14:conditionalFormatting>
        <x14:conditionalFormatting xmlns:xm="http://schemas.microsoft.com/office/excel/2006/main">
          <x14:cfRule type="dataBar" id="{6BC0412C-4F68-43FB-9A84-4B99024CBB1A}">
            <x14:dataBar minLength="0" maxLength="100" gradient="0">
              <x14:cfvo type="percent">
                <xm:f>0.5</xm:f>
              </x14:cfvo>
              <x14:cfvo type="max"/>
              <x14:negativeFillColor rgb="FFFF0000"/>
              <x14:axisColor rgb="FF000000"/>
            </x14:dataBar>
          </x14:cfRule>
          <xm:sqref>L14</xm:sqref>
        </x14:conditionalFormatting>
        <x14:conditionalFormatting xmlns:xm="http://schemas.microsoft.com/office/excel/2006/main">
          <x14:cfRule type="dataBar" id="{A500B9C8-D36A-4E54-9481-A5BF01F1E717}">
            <x14:dataBar axisPosition="none">
              <x14:cfvo type="percent">
                <xm:f>0.5</xm:f>
              </x14:cfvo>
              <x14:cfvo type="max"/>
              <x14:negativeFillColor rgb="FF638EC6"/>
            </x14:dataBar>
          </x14:cfRule>
          <xm:sqref>L15</xm:sqref>
        </x14:conditionalFormatting>
        <x14:conditionalFormatting xmlns:xm="http://schemas.microsoft.com/office/excel/2006/main">
          <x14:cfRule type="dataBar" id="{5B8A102F-D164-44C1-AFA9-F8CC26303CAF}">
            <x14:dataBar minLength="0" maxLength="100" gradient="0">
              <x14:cfvo type="percent">
                <xm:f>0.5</xm:f>
              </x14:cfvo>
              <x14:cfvo type="max"/>
              <x14:negativeFillColor rgb="FFFF0000"/>
              <x14:axisColor rgb="FF000000"/>
            </x14:dataBar>
          </x14:cfRule>
          <xm:sqref>L16</xm:sqref>
        </x14:conditionalFormatting>
        <x14:conditionalFormatting xmlns:xm="http://schemas.microsoft.com/office/excel/2006/main">
          <x14:cfRule type="dataBar" id="{DE779F09-EA85-4F02-BB74-D4C2561FF3A7}">
            <x14:dataBar axisPosition="none">
              <x14:cfvo type="percent">
                <xm:f>0.5</xm:f>
              </x14:cfvo>
              <x14:cfvo type="max"/>
              <x14:negativeFillColor rgb="FF638EC6"/>
            </x14:dataBar>
          </x14:cfRule>
          <xm:sqref>L17</xm:sqref>
        </x14:conditionalFormatting>
        <x14:conditionalFormatting xmlns:xm="http://schemas.microsoft.com/office/excel/2006/main">
          <x14:cfRule type="dataBar" id="{3D630A7F-73B2-A64A-B0E3-75F453958C87}">
            <x14:dataBar axisPosition="none">
              <x14:cfvo type="percent">
                <xm:f>0.5</xm:f>
              </x14:cfvo>
              <x14:cfvo type="max"/>
              <x14:negativeFillColor rgb="FF638EC6"/>
            </x14:dataBar>
          </x14:cfRule>
          <xm:sqref>L18</xm:sqref>
        </x14:conditionalFormatting>
        <x14:conditionalFormatting xmlns:xm="http://schemas.microsoft.com/office/excel/2006/main">
          <x14:cfRule type="dataBar" id="{A3EE8366-4A3E-4F94-BDD9-9A6CB5A7AD9A}">
            <x14:dataBar minLength="0" maxLength="100" gradient="0">
              <x14:cfvo type="percent">
                <xm:f>0.5</xm:f>
              </x14:cfvo>
              <x14:cfvo type="max"/>
              <x14:negativeFillColor rgb="FFFF0000"/>
              <x14:axisColor rgb="FF000000"/>
            </x14:dataBar>
          </x14:cfRule>
          <xm:sqref>L19</xm:sqref>
        </x14:conditionalFormatting>
        <x14:conditionalFormatting xmlns:xm="http://schemas.microsoft.com/office/excel/2006/main">
          <x14:cfRule type="dataBar" id="{DE6B2C8D-66AC-6348-B930-0349E49950FB}">
            <x14:dataBar axisPosition="none">
              <x14:cfvo type="percent">
                <xm:f>0.5</xm:f>
              </x14:cfvo>
              <x14:cfvo type="max"/>
              <x14:negativeFillColor rgb="FF638EC6"/>
            </x14:dataBar>
          </x14:cfRule>
          <xm:sqref>L20:L26</xm:sqref>
        </x14:conditionalFormatting>
        <x14:conditionalFormatting xmlns:xm="http://schemas.microsoft.com/office/excel/2006/main">
          <x14:cfRule type="dataBar" id="{9267B528-2A25-4772-B962-273E7C40EA02}">
            <x14:dataBar minLength="0" maxLength="100" gradient="0">
              <x14:cfvo type="percent">
                <xm:f>0.5</xm:f>
              </x14:cfvo>
              <x14:cfvo type="max"/>
              <x14:negativeFillColor rgb="FFFF0000"/>
              <x14:axisColor rgb="FF000000"/>
            </x14:dataBar>
          </x14:cfRule>
          <xm:sqref>N6</xm:sqref>
        </x14:conditionalFormatting>
        <x14:conditionalFormatting xmlns:xm="http://schemas.microsoft.com/office/excel/2006/main">
          <x14:cfRule type="dataBar" id="{C24776F0-DB09-4356-B710-6A9C6E7CB1C0}">
            <x14:dataBar minLength="0" maxLength="100" gradient="0">
              <x14:cfvo type="percent">
                <xm:f>0.5</xm:f>
              </x14:cfvo>
              <x14:cfvo type="max"/>
              <x14:negativeFillColor rgb="FFFF0000"/>
              <x14:axisColor rgb="FF000000"/>
            </x14:dataBar>
          </x14:cfRule>
          <xm:sqref>N7</xm:sqref>
        </x14:conditionalFormatting>
        <x14:conditionalFormatting xmlns:xm="http://schemas.microsoft.com/office/excel/2006/main">
          <x14:cfRule type="dataBar" id="{FC989F15-ED88-49C2-8D09-87BF1D091DFC}">
            <x14:dataBar minLength="0" maxLength="100" gradient="0">
              <x14:cfvo type="percent">
                <xm:f>0.5</xm:f>
              </x14:cfvo>
              <x14:cfvo type="max"/>
              <x14:negativeFillColor rgb="FFFF0000"/>
              <x14:axisColor rgb="FF000000"/>
            </x14:dataBar>
          </x14:cfRule>
          <xm:sqref>N8</xm:sqref>
        </x14:conditionalFormatting>
        <x14:conditionalFormatting xmlns:xm="http://schemas.microsoft.com/office/excel/2006/main">
          <x14:cfRule type="dataBar" id="{48048CC4-4034-4863-A162-D0B2BACAADF3}">
            <x14:dataBar minLength="0" maxLength="100" gradient="0">
              <x14:cfvo type="percent">
                <xm:f>0.5</xm:f>
              </x14:cfvo>
              <x14:cfvo type="max"/>
              <x14:negativeFillColor rgb="FFFF0000"/>
              <x14:axisColor rgb="FF000000"/>
            </x14:dataBar>
          </x14:cfRule>
          <xm:sqref>N9</xm:sqref>
        </x14:conditionalFormatting>
        <x14:conditionalFormatting xmlns:xm="http://schemas.microsoft.com/office/excel/2006/main">
          <x14:cfRule type="dataBar" id="{FEAE9516-B296-4D22-BB75-48F682CD5DC0}">
            <x14:dataBar minLength="0" maxLength="100" gradient="0">
              <x14:cfvo type="percent">
                <xm:f>0.5</xm:f>
              </x14:cfvo>
              <x14:cfvo type="max"/>
              <x14:negativeFillColor rgb="FFFF0000"/>
              <x14:axisColor rgb="FF000000"/>
            </x14:dataBar>
          </x14:cfRule>
          <xm:sqref>N10</xm:sqref>
        </x14:conditionalFormatting>
        <x14:conditionalFormatting xmlns:xm="http://schemas.microsoft.com/office/excel/2006/main">
          <x14:cfRule type="dataBar" id="{67095F58-1A23-4971-90C2-1F8342BB4B69}">
            <x14:dataBar minLength="0" maxLength="100" gradient="0">
              <x14:cfvo type="percent">
                <xm:f>0.5</xm:f>
              </x14:cfvo>
              <x14:cfvo type="max"/>
              <x14:negativeFillColor rgb="FFFF0000"/>
              <x14:axisColor rgb="FF000000"/>
            </x14:dataBar>
          </x14:cfRule>
          <xm:sqref>N11</xm:sqref>
        </x14:conditionalFormatting>
        <x14:conditionalFormatting xmlns:xm="http://schemas.microsoft.com/office/excel/2006/main">
          <x14:cfRule type="dataBar" id="{9333AA1F-EC7E-4ADB-87CE-EFAE7CCF1C7A}">
            <x14:dataBar minLength="0" maxLength="100" gradient="0">
              <x14:cfvo type="percent">
                <xm:f>0.5</xm:f>
              </x14:cfvo>
              <x14:cfvo type="max"/>
              <x14:negativeFillColor rgb="FFFF0000"/>
              <x14:axisColor rgb="FF000000"/>
            </x14:dataBar>
          </x14:cfRule>
          <xm:sqref>N12</xm:sqref>
        </x14:conditionalFormatting>
        <x14:conditionalFormatting xmlns:xm="http://schemas.microsoft.com/office/excel/2006/main">
          <x14:cfRule type="dataBar" id="{6A788988-54E1-4FF9-86B4-5BAF20E824F0}">
            <x14:dataBar minLength="0" maxLength="100" gradient="0">
              <x14:cfvo type="percent">
                <xm:f>0.5</xm:f>
              </x14:cfvo>
              <x14:cfvo type="max"/>
              <x14:negativeFillColor rgb="FFFF0000"/>
              <x14:axisColor rgb="FF000000"/>
            </x14:dataBar>
          </x14:cfRule>
          <xm:sqref>N13</xm:sqref>
        </x14:conditionalFormatting>
        <x14:conditionalFormatting xmlns:xm="http://schemas.microsoft.com/office/excel/2006/main">
          <x14:cfRule type="dataBar" id="{91EFE563-FA7F-4117-8D4B-4E7E27DD5F67}">
            <x14:dataBar minLength="0" maxLength="100" gradient="0">
              <x14:cfvo type="percent">
                <xm:f>0.5</xm:f>
              </x14:cfvo>
              <x14:cfvo type="max"/>
              <x14:negativeFillColor rgb="FFFF0000"/>
              <x14:axisColor rgb="FF000000"/>
            </x14:dataBar>
          </x14:cfRule>
          <xm:sqref>N14</xm:sqref>
        </x14:conditionalFormatting>
        <x14:conditionalFormatting xmlns:xm="http://schemas.microsoft.com/office/excel/2006/main">
          <x14:cfRule type="dataBar" id="{4145F475-2B76-4D92-8C7B-8F1D11E0DB3F}">
            <x14:dataBar axisPosition="none">
              <x14:cfvo type="percent">
                <xm:f>0.5</xm:f>
              </x14:cfvo>
              <x14:cfvo type="max"/>
              <x14:negativeFillColor rgb="FF638EC6"/>
            </x14:dataBar>
          </x14:cfRule>
          <xm:sqref>N15</xm:sqref>
        </x14:conditionalFormatting>
        <x14:conditionalFormatting xmlns:xm="http://schemas.microsoft.com/office/excel/2006/main">
          <x14:cfRule type="dataBar" id="{4B8851EA-DBF8-4178-B12B-079B5B308BE9}">
            <x14:dataBar minLength="0" maxLength="100" gradient="0">
              <x14:cfvo type="percent">
                <xm:f>0.5</xm:f>
              </x14:cfvo>
              <x14:cfvo type="max"/>
              <x14:negativeFillColor rgb="FFFF0000"/>
              <x14:axisColor rgb="FF000000"/>
            </x14:dataBar>
          </x14:cfRule>
          <xm:sqref>N16</xm:sqref>
        </x14:conditionalFormatting>
        <x14:conditionalFormatting xmlns:xm="http://schemas.microsoft.com/office/excel/2006/main">
          <x14:cfRule type="dataBar" id="{5FB23CE8-59EF-43DF-BF8D-7F108505837B}">
            <x14:dataBar axisPosition="none">
              <x14:cfvo type="percent">
                <xm:f>0.5</xm:f>
              </x14:cfvo>
              <x14:cfvo type="max"/>
              <x14:negativeFillColor rgb="FF638EC6"/>
            </x14:dataBar>
          </x14:cfRule>
          <xm:sqref>N17</xm:sqref>
        </x14:conditionalFormatting>
        <x14:conditionalFormatting xmlns:xm="http://schemas.microsoft.com/office/excel/2006/main">
          <x14:cfRule type="dataBar" id="{700F26FE-5EAB-D54A-82E5-B7249BEEF52A}">
            <x14:dataBar axisPosition="none">
              <x14:cfvo type="percent">
                <xm:f>0.5</xm:f>
              </x14:cfvo>
              <x14:cfvo type="max"/>
              <x14:negativeFillColor rgb="FF638EC6"/>
            </x14:dataBar>
          </x14:cfRule>
          <xm:sqref>N18</xm:sqref>
        </x14:conditionalFormatting>
        <x14:conditionalFormatting xmlns:xm="http://schemas.microsoft.com/office/excel/2006/main">
          <x14:cfRule type="dataBar" id="{7096FCD6-3862-4F27-9390-823F5F59E24B}">
            <x14:dataBar minLength="0" maxLength="100" gradient="0">
              <x14:cfvo type="percent">
                <xm:f>0.5</xm:f>
              </x14:cfvo>
              <x14:cfvo type="max"/>
              <x14:negativeFillColor rgb="FFFF0000"/>
              <x14:axisColor rgb="FF000000"/>
            </x14:dataBar>
          </x14:cfRule>
          <xm:sqref>N19</xm:sqref>
        </x14:conditionalFormatting>
        <x14:conditionalFormatting xmlns:xm="http://schemas.microsoft.com/office/excel/2006/main">
          <x14:cfRule type="dataBar" id="{955C0372-6F0F-8346-96B7-46A5A2E694FE}">
            <x14:dataBar axisPosition="none">
              <x14:cfvo type="percent">
                <xm:f>0.5</xm:f>
              </x14:cfvo>
              <x14:cfvo type="max"/>
              <x14:negativeFillColor rgb="FF638EC6"/>
            </x14:dataBar>
          </x14:cfRule>
          <xm:sqref>N20:N26</xm:sqref>
        </x14:conditionalFormatting>
        <x14:conditionalFormatting xmlns:xm="http://schemas.microsoft.com/office/excel/2006/main">
          <x14:cfRule type="dataBar" id="{090D98CB-4F88-4016-970A-82CBD62C4AE5}">
            <x14:dataBar minLength="0" maxLength="100" gradient="0">
              <x14:cfvo type="percent">
                <xm:f>0.5</xm:f>
              </x14:cfvo>
              <x14:cfvo type="max"/>
              <x14:negativeFillColor rgb="FFFF0000"/>
              <x14:axisColor rgb="FF000000"/>
            </x14:dataBar>
          </x14:cfRule>
          <xm:sqref>S6</xm:sqref>
        </x14:conditionalFormatting>
        <x14:conditionalFormatting xmlns:xm="http://schemas.microsoft.com/office/excel/2006/main">
          <x14:cfRule type="dataBar" id="{F7EB2F08-AD24-46F9-9BD4-9199A5C55C47}">
            <x14:dataBar minLength="0" maxLength="100" gradient="0">
              <x14:cfvo type="percent">
                <xm:f>0.5</xm:f>
              </x14:cfvo>
              <x14:cfvo type="max"/>
              <x14:negativeFillColor rgb="FFFF0000"/>
              <x14:axisColor rgb="FF000000"/>
            </x14:dataBar>
          </x14:cfRule>
          <xm:sqref>S7</xm:sqref>
        </x14:conditionalFormatting>
        <x14:conditionalFormatting xmlns:xm="http://schemas.microsoft.com/office/excel/2006/main">
          <x14:cfRule type="dataBar" id="{F826EC3A-9799-4FB5-8E7D-421FCD950A82}">
            <x14:dataBar minLength="0" maxLength="100" gradient="0">
              <x14:cfvo type="percent">
                <xm:f>0.5</xm:f>
              </x14:cfvo>
              <x14:cfvo type="max"/>
              <x14:negativeFillColor rgb="FFFF0000"/>
              <x14:axisColor rgb="FF000000"/>
            </x14:dataBar>
          </x14:cfRule>
          <xm:sqref>S8</xm:sqref>
        </x14:conditionalFormatting>
        <x14:conditionalFormatting xmlns:xm="http://schemas.microsoft.com/office/excel/2006/main">
          <x14:cfRule type="dataBar" id="{3DFA0C10-9E31-4F70-96F2-21B1BDDA9427}">
            <x14:dataBar minLength="0" maxLength="100" gradient="0">
              <x14:cfvo type="percent">
                <xm:f>0.5</xm:f>
              </x14:cfvo>
              <x14:cfvo type="max"/>
              <x14:negativeFillColor rgb="FFFF0000"/>
              <x14:axisColor rgb="FF000000"/>
            </x14:dataBar>
          </x14:cfRule>
          <xm:sqref>S9</xm:sqref>
        </x14:conditionalFormatting>
        <x14:conditionalFormatting xmlns:xm="http://schemas.microsoft.com/office/excel/2006/main">
          <x14:cfRule type="dataBar" id="{F518FCDB-A5FC-4845-A136-04036C0050DB}">
            <x14:dataBar minLength="0" maxLength="100" gradient="0">
              <x14:cfvo type="percent">
                <xm:f>0.5</xm:f>
              </x14:cfvo>
              <x14:cfvo type="max"/>
              <x14:negativeFillColor rgb="FFFF0000"/>
              <x14:axisColor rgb="FF000000"/>
            </x14:dataBar>
          </x14:cfRule>
          <xm:sqref>S10</xm:sqref>
        </x14:conditionalFormatting>
        <x14:conditionalFormatting xmlns:xm="http://schemas.microsoft.com/office/excel/2006/main">
          <x14:cfRule type="dataBar" id="{01BFAC09-8C51-475A-9BE3-F00EFCBE290C}">
            <x14:dataBar minLength="0" maxLength="100" gradient="0">
              <x14:cfvo type="percent">
                <xm:f>0.5</xm:f>
              </x14:cfvo>
              <x14:cfvo type="max"/>
              <x14:negativeFillColor rgb="FFFF0000"/>
              <x14:axisColor rgb="FF000000"/>
            </x14:dataBar>
          </x14:cfRule>
          <xm:sqref>S11</xm:sqref>
        </x14:conditionalFormatting>
        <x14:conditionalFormatting xmlns:xm="http://schemas.microsoft.com/office/excel/2006/main">
          <x14:cfRule type="dataBar" id="{BF02E64D-3861-4CEE-A7B2-F53EA7E462F7}">
            <x14:dataBar minLength="0" maxLength="100" gradient="0">
              <x14:cfvo type="percent">
                <xm:f>0.5</xm:f>
              </x14:cfvo>
              <x14:cfvo type="max"/>
              <x14:negativeFillColor rgb="FFFF0000"/>
              <x14:axisColor rgb="FF000000"/>
            </x14:dataBar>
          </x14:cfRule>
          <xm:sqref>S12</xm:sqref>
        </x14:conditionalFormatting>
        <x14:conditionalFormatting xmlns:xm="http://schemas.microsoft.com/office/excel/2006/main">
          <x14:cfRule type="dataBar" id="{B386DAFA-6E82-45A5-8214-9F17951E4548}">
            <x14:dataBar minLength="0" maxLength="100" gradient="0">
              <x14:cfvo type="percent">
                <xm:f>0.5</xm:f>
              </x14:cfvo>
              <x14:cfvo type="max"/>
              <x14:negativeFillColor rgb="FFFF0000"/>
              <x14:axisColor rgb="FF000000"/>
            </x14:dataBar>
          </x14:cfRule>
          <xm:sqref>S13</xm:sqref>
        </x14:conditionalFormatting>
        <x14:conditionalFormatting xmlns:xm="http://schemas.microsoft.com/office/excel/2006/main">
          <x14:cfRule type="dataBar" id="{CD617A10-4912-4692-B47D-A1DB018C12BD}">
            <x14:dataBar minLength="0" maxLength="100" gradient="0">
              <x14:cfvo type="percent">
                <xm:f>0.5</xm:f>
              </x14:cfvo>
              <x14:cfvo type="max"/>
              <x14:negativeFillColor rgb="FFFF0000"/>
              <x14:axisColor rgb="FF000000"/>
            </x14:dataBar>
          </x14:cfRule>
          <xm:sqref>S14</xm:sqref>
        </x14:conditionalFormatting>
        <x14:conditionalFormatting xmlns:xm="http://schemas.microsoft.com/office/excel/2006/main">
          <x14:cfRule type="dataBar" id="{1A6EF4E6-6CF4-4917-8A71-187252499012}">
            <x14:dataBar axisPosition="none">
              <x14:cfvo type="percent">
                <xm:f>0.5</xm:f>
              </x14:cfvo>
              <x14:cfvo type="max"/>
              <x14:negativeFillColor rgb="FF638EC6"/>
            </x14:dataBar>
          </x14:cfRule>
          <xm:sqref>S15</xm:sqref>
        </x14:conditionalFormatting>
        <x14:conditionalFormatting xmlns:xm="http://schemas.microsoft.com/office/excel/2006/main">
          <x14:cfRule type="dataBar" id="{D04BFFAB-02F0-4826-BBBB-E48ED776492A}">
            <x14:dataBar axisPosition="none">
              <x14:cfvo type="percent">
                <xm:f>0.5</xm:f>
              </x14:cfvo>
              <x14:cfvo type="max"/>
              <x14:negativeFillColor rgb="FF638EC6"/>
            </x14:dataBar>
          </x14:cfRule>
          <xm:sqref>S16</xm:sqref>
        </x14:conditionalFormatting>
        <x14:conditionalFormatting xmlns:xm="http://schemas.microsoft.com/office/excel/2006/main">
          <x14:cfRule type="dataBar" id="{8534A6DD-4FCE-4D91-9B27-811E52AD2E2F}">
            <x14:dataBar minLength="0" maxLength="100" gradient="0">
              <x14:cfvo type="percent">
                <xm:f>0.5</xm:f>
              </x14:cfvo>
              <x14:cfvo type="max"/>
              <x14:negativeFillColor rgb="FFFF0000"/>
              <x14:axisColor rgb="FF000000"/>
            </x14:dataBar>
          </x14:cfRule>
          <xm:sqref>S17</xm:sqref>
        </x14:conditionalFormatting>
        <x14:conditionalFormatting xmlns:xm="http://schemas.microsoft.com/office/excel/2006/main">
          <x14:cfRule type="dataBar" id="{450B54BD-F562-8746-A219-81169BEA9C25}">
            <x14:dataBar minLength="0" maxLength="100" gradient="0">
              <x14:cfvo type="percent">
                <xm:f>0.5</xm:f>
              </x14:cfvo>
              <x14:cfvo type="max"/>
              <x14:negativeFillColor rgb="FFFF0000"/>
              <x14:axisColor rgb="FF000000"/>
            </x14:dataBar>
          </x14:cfRule>
          <xm:sqref>S18</xm:sqref>
        </x14:conditionalFormatting>
        <x14:conditionalFormatting xmlns:xm="http://schemas.microsoft.com/office/excel/2006/main">
          <x14:cfRule type="dataBar" id="{90131F09-5D12-4442-8A1D-ACB41836270B}">
            <x14:dataBar minLength="0" maxLength="100" gradient="0">
              <x14:cfvo type="percent">
                <xm:f>0.5</xm:f>
              </x14:cfvo>
              <x14:cfvo type="max"/>
              <x14:negativeFillColor rgb="FFFF0000"/>
              <x14:axisColor rgb="FF000000"/>
            </x14:dataBar>
          </x14:cfRule>
          <xm:sqref>S19</xm:sqref>
        </x14:conditionalFormatting>
        <x14:conditionalFormatting xmlns:xm="http://schemas.microsoft.com/office/excel/2006/main">
          <x14:cfRule type="dataBar" id="{736F86E1-5D51-034D-BE84-DE8FCCE8C4E6}">
            <x14:dataBar minLength="0" maxLength="100" gradient="0">
              <x14:cfvo type="percent">
                <xm:f>0.5</xm:f>
              </x14:cfvo>
              <x14:cfvo type="max"/>
              <x14:negativeFillColor rgb="FFFF0000"/>
              <x14:axisColor rgb="FF000000"/>
            </x14:dataBar>
          </x14:cfRule>
          <xm:sqref>S20:S26</xm:sqref>
        </x14:conditionalFormatting>
        <x14:conditionalFormatting xmlns:xm="http://schemas.microsoft.com/office/excel/2006/main">
          <x14:cfRule type="dataBar" id="{BA4E0B8B-CBC4-455F-921E-57460A91CB05}">
            <x14:dataBar minLength="0" maxLength="100" gradient="0">
              <x14:cfvo type="percent">
                <xm:f>0.5</xm:f>
              </x14:cfvo>
              <x14:cfvo type="max"/>
              <x14:negativeFillColor rgb="FFFF0000"/>
              <x14:axisColor rgb="FF000000"/>
            </x14:dataBar>
          </x14:cfRule>
          <xm:sqref>U6</xm:sqref>
        </x14:conditionalFormatting>
        <x14:conditionalFormatting xmlns:xm="http://schemas.microsoft.com/office/excel/2006/main">
          <x14:cfRule type="dataBar" id="{7A2D42DA-2213-4734-A7A0-23F3A6EB783A}">
            <x14:dataBar minLength="0" maxLength="100" gradient="0">
              <x14:cfvo type="percent">
                <xm:f>0.5</xm:f>
              </x14:cfvo>
              <x14:cfvo type="max"/>
              <x14:negativeFillColor rgb="FFFF0000"/>
              <x14:axisColor rgb="FF000000"/>
            </x14:dataBar>
          </x14:cfRule>
          <xm:sqref>U7</xm:sqref>
        </x14:conditionalFormatting>
        <x14:conditionalFormatting xmlns:xm="http://schemas.microsoft.com/office/excel/2006/main">
          <x14:cfRule type="dataBar" id="{DA3A0FC0-BC32-41F9-AC9C-2ACBFDE8B598}">
            <x14:dataBar minLength="0" maxLength="100" gradient="0">
              <x14:cfvo type="percent">
                <xm:f>0.5</xm:f>
              </x14:cfvo>
              <x14:cfvo type="max"/>
              <x14:negativeFillColor rgb="FFFF0000"/>
              <x14:axisColor rgb="FF000000"/>
            </x14:dataBar>
          </x14:cfRule>
          <xm:sqref>U8</xm:sqref>
        </x14:conditionalFormatting>
        <x14:conditionalFormatting xmlns:xm="http://schemas.microsoft.com/office/excel/2006/main">
          <x14:cfRule type="dataBar" id="{25EBB885-D705-498F-9BB1-1FAFA2BA2241}">
            <x14:dataBar minLength="0" maxLength="100" gradient="0">
              <x14:cfvo type="percent">
                <xm:f>0.5</xm:f>
              </x14:cfvo>
              <x14:cfvo type="max"/>
              <x14:negativeFillColor rgb="FFFF0000"/>
              <x14:axisColor rgb="FF000000"/>
            </x14:dataBar>
          </x14:cfRule>
          <xm:sqref>U9</xm:sqref>
        </x14:conditionalFormatting>
        <x14:conditionalFormatting xmlns:xm="http://schemas.microsoft.com/office/excel/2006/main">
          <x14:cfRule type="dataBar" id="{1AE72C55-DFBA-4CAE-9ECB-61715E384008}">
            <x14:dataBar minLength="0" maxLength="100" gradient="0">
              <x14:cfvo type="percent">
                <xm:f>0.5</xm:f>
              </x14:cfvo>
              <x14:cfvo type="max"/>
              <x14:negativeFillColor rgb="FFFF0000"/>
              <x14:axisColor rgb="FF000000"/>
            </x14:dataBar>
          </x14:cfRule>
          <xm:sqref>U10</xm:sqref>
        </x14:conditionalFormatting>
        <x14:conditionalFormatting xmlns:xm="http://schemas.microsoft.com/office/excel/2006/main">
          <x14:cfRule type="dataBar" id="{12B548DD-86F0-41DC-ADA1-BA26153D7776}">
            <x14:dataBar minLength="0" maxLength="100" gradient="0">
              <x14:cfvo type="percent">
                <xm:f>0.5</xm:f>
              </x14:cfvo>
              <x14:cfvo type="max"/>
              <x14:negativeFillColor rgb="FFFF0000"/>
              <x14:axisColor rgb="FF000000"/>
            </x14:dataBar>
          </x14:cfRule>
          <xm:sqref>U11</xm:sqref>
        </x14:conditionalFormatting>
        <x14:conditionalFormatting xmlns:xm="http://schemas.microsoft.com/office/excel/2006/main">
          <x14:cfRule type="dataBar" id="{073EB2FB-C2A3-4B6A-8D65-18386F11649E}">
            <x14:dataBar minLength="0" maxLength="100" gradient="0">
              <x14:cfvo type="percent">
                <xm:f>0.5</xm:f>
              </x14:cfvo>
              <x14:cfvo type="max"/>
              <x14:negativeFillColor rgb="FFFF0000"/>
              <x14:axisColor rgb="FF000000"/>
            </x14:dataBar>
          </x14:cfRule>
          <xm:sqref>U12</xm:sqref>
        </x14:conditionalFormatting>
        <x14:conditionalFormatting xmlns:xm="http://schemas.microsoft.com/office/excel/2006/main">
          <x14:cfRule type="dataBar" id="{3FBA2019-A462-4A71-BA6E-23C3C449C066}">
            <x14:dataBar minLength="0" maxLength="100" gradient="0">
              <x14:cfvo type="percent">
                <xm:f>0.5</xm:f>
              </x14:cfvo>
              <x14:cfvo type="max"/>
              <x14:negativeFillColor rgb="FFFF0000"/>
              <x14:axisColor rgb="FF000000"/>
            </x14:dataBar>
          </x14:cfRule>
          <xm:sqref>U13</xm:sqref>
        </x14:conditionalFormatting>
        <x14:conditionalFormatting xmlns:xm="http://schemas.microsoft.com/office/excel/2006/main">
          <x14:cfRule type="dataBar" id="{899DC15C-FD11-48E0-8610-4FDBDDF2CEF6}">
            <x14:dataBar minLength="0" maxLength="100" gradient="0">
              <x14:cfvo type="percent">
                <xm:f>0.5</xm:f>
              </x14:cfvo>
              <x14:cfvo type="max"/>
              <x14:negativeFillColor rgb="FFFF0000"/>
              <x14:axisColor rgb="FF000000"/>
            </x14:dataBar>
          </x14:cfRule>
          <xm:sqref>U14</xm:sqref>
        </x14:conditionalFormatting>
        <x14:conditionalFormatting xmlns:xm="http://schemas.microsoft.com/office/excel/2006/main">
          <x14:cfRule type="dataBar" id="{76AC58AE-6E51-4A70-BECB-65C55FDD7029}">
            <x14:dataBar axisPosition="none">
              <x14:cfvo type="percent">
                <xm:f>0.5</xm:f>
              </x14:cfvo>
              <x14:cfvo type="max"/>
              <x14:negativeFillColor rgb="FF638EC6"/>
            </x14:dataBar>
          </x14:cfRule>
          <xm:sqref>U15</xm:sqref>
        </x14:conditionalFormatting>
        <x14:conditionalFormatting xmlns:xm="http://schemas.microsoft.com/office/excel/2006/main">
          <x14:cfRule type="dataBar" id="{249CFD86-F1CF-4AC8-8396-B1C0A6EB0CD5}">
            <x14:dataBar axisPosition="none">
              <x14:cfvo type="percent">
                <xm:f>0.5</xm:f>
              </x14:cfvo>
              <x14:cfvo type="max"/>
              <x14:negativeFillColor rgb="FF638EC6"/>
            </x14:dataBar>
          </x14:cfRule>
          <xm:sqref>U16</xm:sqref>
        </x14:conditionalFormatting>
        <x14:conditionalFormatting xmlns:xm="http://schemas.microsoft.com/office/excel/2006/main">
          <x14:cfRule type="dataBar" id="{6097DD54-DB99-4F3B-B7D6-3D9D59142A4F}">
            <x14:dataBar minLength="0" maxLength="100" gradient="0">
              <x14:cfvo type="percent">
                <xm:f>0.5</xm:f>
              </x14:cfvo>
              <x14:cfvo type="max"/>
              <x14:negativeFillColor rgb="FFFF0000"/>
              <x14:axisColor rgb="FF000000"/>
            </x14:dataBar>
          </x14:cfRule>
          <xm:sqref>U17</xm:sqref>
        </x14:conditionalFormatting>
        <x14:conditionalFormatting xmlns:xm="http://schemas.microsoft.com/office/excel/2006/main">
          <x14:cfRule type="dataBar" id="{55FF6947-4A51-6B4C-9ACF-881406F82989}">
            <x14:dataBar minLength="0" maxLength="100" gradient="0">
              <x14:cfvo type="percent">
                <xm:f>0.5</xm:f>
              </x14:cfvo>
              <x14:cfvo type="max"/>
              <x14:negativeFillColor rgb="FFFF0000"/>
              <x14:axisColor rgb="FF000000"/>
            </x14:dataBar>
          </x14:cfRule>
          <xm:sqref>U18</xm:sqref>
        </x14:conditionalFormatting>
        <x14:conditionalFormatting xmlns:xm="http://schemas.microsoft.com/office/excel/2006/main">
          <x14:cfRule type="dataBar" id="{EC302C19-35ED-4373-82CC-06A9D99DA3FA}">
            <x14:dataBar minLength="0" maxLength="100" gradient="0">
              <x14:cfvo type="percent">
                <xm:f>0.5</xm:f>
              </x14:cfvo>
              <x14:cfvo type="max"/>
              <x14:negativeFillColor rgb="FFFF0000"/>
              <x14:axisColor rgb="FF000000"/>
            </x14:dataBar>
          </x14:cfRule>
          <xm:sqref>U19</xm:sqref>
        </x14:conditionalFormatting>
        <x14:conditionalFormatting xmlns:xm="http://schemas.microsoft.com/office/excel/2006/main">
          <x14:cfRule type="dataBar" id="{166C4A65-FB7C-6845-BA95-0FD4681C7A79}">
            <x14:dataBar minLength="0" maxLength="100" gradient="0">
              <x14:cfvo type="percent">
                <xm:f>0.5</xm:f>
              </x14:cfvo>
              <x14:cfvo type="max"/>
              <x14:negativeFillColor rgb="FFFF0000"/>
              <x14:axisColor rgb="FF000000"/>
            </x14:dataBar>
          </x14:cfRule>
          <xm:sqref>U20:U26</xm:sqref>
        </x14:conditionalFormatting>
        <x14:conditionalFormatting xmlns:xm="http://schemas.microsoft.com/office/excel/2006/main">
          <x14:cfRule type="dataBar" id="{AC728670-7449-4C7B-B1A6-B33AC9062BBD}">
            <x14:dataBar minLength="0" maxLength="100" gradient="0">
              <x14:cfvo type="percent">
                <xm:f>0.5</xm:f>
              </x14:cfvo>
              <x14:cfvo type="max"/>
              <x14:negativeFillColor rgb="FFFF0000"/>
              <x14:axisColor rgb="FF000000"/>
            </x14:dataBar>
          </x14:cfRule>
          <xm:sqref>W6</xm:sqref>
        </x14:conditionalFormatting>
        <x14:conditionalFormatting xmlns:xm="http://schemas.microsoft.com/office/excel/2006/main">
          <x14:cfRule type="dataBar" id="{ABF31C3F-4F5B-479A-BFB9-DD6911BA3BC0}">
            <x14:dataBar minLength="0" maxLength="100" gradient="0">
              <x14:cfvo type="percent">
                <xm:f>0.5</xm:f>
              </x14:cfvo>
              <x14:cfvo type="max"/>
              <x14:negativeFillColor rgb="FFFF0000"/>
              <x14:axisColor rgb="FF000000"/>
            </x14:dataBar>
          </x14:cfRule>
          <xm:sqref>W7</xm:sqref>
        </x14:conditionalFormatting>
        <x14:conditionalFormatting xmlns:xm="http://schemas.microsoft.com/office/excel/2006/main">
          <x14:cfRule type="dataBar" id="{E9D7B954-9722-4742-89AF-9D6DDA7FF6D0}">
            <x14:dataBar minLength="0" maxLength="100" gradient="0">
              <x14:cfvo type="percent">
                <xm:f>0.5</xm:f>
              </x14:cfvo>
              <x14:cfvo type="max"/>
              <x14:negativeFillColor rgb="FFFF0000"/>
              <x14:axisColor rgb="FF000000"/>
            </x14:dataBar>
          </x14:cfRule>
          <xm:sqref>W8</xm:sqref>
        </x14:conditionalFormatting>
        <x14:conditionalFormatting xmlns:xm="http://schemas.microsoft.com/office/excel/2006/main">
          <x14:cfRule type="dataBar" id="{5DB28E93-FB4D-4FC5-BC84-ED3A72559B4C}">
            <x14:dataBar minLength="0" maxLength="100" gradient="0">
              <x14:cfvo type="percent">
                <xm:f>0.5</xm:f>
              </x14:cfvo>
              <x14:cfvo type="max"/>
              <x14:negativeFillColor rgb="FFFF0000"/>
              <x14:axisColor rgb="FF000000"/>
            </x14:dataBar>
          </x14:cfRule>
          <xm:sqref>W9</xm:sqref>
        </x14:conditionalFormatting>
        <x14:conditionalFormatting xmlns:xm="http://schemas.microsoft.com/office/excel/2006/main">
          <x14:cfRule type="dataBar" id="{D513C9B7-251D-4390-84E7-C729B5AB9E84}">
            <x14:dataBar minLength="0" maxLength="100" gradient="0">
              <x14:cfvo type="percent">
                <xm:f>0.5</xm:f>
              </x14:cfvo>
              <x14:cfvo type="max"/>
              <x14:negativeFillColor rgb="FFFF0000"/>
              <x14:axisColor rgb="FF000000"/>
            </x14:dataBar>
          </x14:cfRule>
          <xm:sqref>W10:W11</xm:sqref>
        </x14:conditionalFormatting>
        <x14:conditionalFormatting xmlns:xm="http://schemas.microsoft.com/office/excel/2006/main">
          <x14:cfRule type="dataBar" id="{613BC6F1-5262-4B78-A71B-03F7B0DD1F78}">
            <x14:dataBar minLength="0" maxLength="100" gradient="0">
              <x14:cfvo type="percent">
                <xm:f>0.5</xm:f>
              </x14:cfvo>
              <x14:cfvo type="max"/>
              <x14:negativeFillColor rgb="FFFF0000"/>
              <x14:axisColor rgb="FF000000"/>
            </x14:dataBar>
          </x14:cfRule>
          <xm:sqref>W12</xm:sqref>
        </x14:conditionalFormatting>
        <x14:conditionalFormatting xmlns:xm="http://schemas.microsoft.com/office/excel/2006/main">
          <x14:cfRule type="dataBar" id="{9EB84A3A-DF97-4048-B367-16A3EFE5D38D}">
            <x14:dataBar minLength="0" maxLength="100" gradient="0">
              <x14:cfvo type="percent">
                <xm:f>0.5</xm:f>
              </x14:cfvo>
              <x14:cfvo type="max"/>
              <x14:negativeFillColor rgb="FFFF0000"/>
              <x14:axisColor rgb="FF000000"/>
            </x14:dataBar>
          </x14:cfRule>
          <xm:sqref>W13</xm:sqref>
        </x14:conditionalFormatting>
        <x14:conditionalFormatting xmlns:xm="http://schemas.microsoft.com/office/excel/2006/main">
          <x14:cfRule type="dataBar" id="{056CA264-C15B-405D-8A4B-6D46B42B21BB}">
            <x14:dataBar minLength="0" maxLength="100" gradient="0">
              <x14:cfvo type="percent">
                <xm:f>0.5</xm:f>
              </x14:cfvo>
              <x14:cfvo type="max"/>
              <x14:negativeFillColor rgb="FFFF0000"/>
              <x14:axisColor rgb="FF000000"/>
            </x14:dataBar>
          </x14:cfRule>
          <xm:sqref>W14</xm:sqref>
        </x14:conditionalFormatting>
        <x14:conditionalFormatting xmlns:xm="http://schemas.microsoft.com/office/excel/2006/main">
          <x14:cfRule type="dataBar" id="{775F5B27-FDD1-4BD1-825B-214B308A6B09}">
            <x14:dataBar axisPosition="none">
              <x14:cfvo type="percent">
                <xm:f>0.5</xm:f>
              </x14:cfvo>
              <x14:cfvo type="max"/>
              <x14:negativeFillColor rgb="FF638EC6"/>
            </x14:dataBar>
          </x14:cfRule>
          <xm:sqref>W15</xm:sqref>
        </x14:conditionalFormatting>
        <x14:conditionalFormatting xmlns:xm="http://schemas.microsoft.com/office/excel/2006/main">
          <x14:cfRule type="dataBar" id="{5867227E-6138-4FF0-B035-22C455705B36}">
            <x14:dataBar axisPosition="none">
              <x14:cfvo type="percent">
                <xm:f>0.5</xm:f>
              </x14:cfvo>
              <x14:cfvo type="max"/>
              <x14:negativeFillColor rgb="FF638EC6"/>
            </x14:dataBar>
          </x14:cfRule>
          <xm:sqref>W16</xm:sqref>
        </x14:conditionalFormatting>
        <x14:conditionalFormatting xmlns:xm="http://schemas.microsoft.com/office/excel/2006/main">
          <x14:cfRule type="dataBar" id="{86EF35A8-346F-4291-9246-D147DCFDDB5F}">
            <x14:dataBar minLength="0" maxLength="100" gradient="0">
              <x14:cfvo type="percent">
                <xm:f>0.5</xm:f>
              </x14:cfvo>
              <x14:cfvo type="max"/>
              <x14:negativeFillColor rgb="FFFF0000"/>
              <x14:axisColor rgb="FF000000"/>
            </x14:dataBar>
          </x14:cfRule>
          <xm:sqref>W17</xm:sqref>
        </x14:conditionalFormatting>
        <x14:conditionalFormatting xmlns:xm="http://schemas.microsoft.com/office/excel/2006/main">
          <x14:cfRule type="dataBar" id="{B1DE3934-95BD-324D-802A-4293BE48E05A}">
            <x14:dataBar minLength="0" maxLength="100" gradient="0">
              <x14:cfvo type="percent">
                <xm:f>0.5</xm:f>
              </x14:cfvo>
              <x14:cfvo type="max"/>
              <x14:negativeFillColor rgb="FFFF0000"/>
              <x14:axisColor rgb="FF000000"/>
            </x14:dataBar>
          </x14:cfRule>
          <xm:sqref>W18</xm:sqref>
        </x14:conditionalFormatting>
        <x14:conditionalFormatting xmlns:xm="http://schemas.microsoft.com/office/excel/2006/main">
          <x14:cfRule type="dataBar" id="{6B30BBA3-33CC-4318-9381-F622D1A93EF4}">
            <x14:dataBar minLength="0" maxLength="100" gradient="0">
              <x14:cfvo type="percent">
                <xm:f>0.5</xm:f>
              </x14:cfvo>
              <x14:cfvo type="max"/>
              <x14:negativeFillColor rgb="FFFF0000"/>
              <x14:axisColor rgb="FF000000"/>
            </x14:dataBar>
          </x14:cfRule>
          <xm:sqref>W19</xm:sqref>
        </x14:conditionalFormatting>
        <x14:conditionalFormatting xmlns:xm="http://schemas.microsoft.com/office/excel/2006/main">
          <x14:cfRule type="dataBar" id="{210AEF1A-4850-8A46-B0F3-2F4DCEA7FC95}">
            <x14:dataBar minLength="0" maxLength="100" gradient="0">
              <x14:cfvo type="percent">
                <xm:f>0.5</xm:f>
              </x14:cfvo>
              <x14:cfvo type="max"/>
              <x14:negativeFillColor rgb="FFFF0000"/>
              <x14:axisColor rgb="FF000000"/>
            </x14:dataBar>
          </x14:cfRule>
          <xm:sqref>W20:W26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8"/>
  <sheetViews>
    <sheetView showGridLines="0" topLeftCell="A11" zoomScale="90" zoomScaleNormal="90" workbookViewId="0">
      <selection activeCell="N19" sqref="N19:U23"/>
    </sheetView>
  </sheetViews>
  <sheetFormatPr baseColWidth="10" defaultColWidth="0" defaultRowHeight="11" zeroHeight="1" x14ac:dyDescent="0.15"/>
  <cols>
    <col min="1" max="1" width="1.6640625" style="10" customWidth="1"/>
    <col min="2" max="2" width="13.33203125" style="10" customWidth="1"/>
    <col min="3" max="3" width="20.6640625" style="10" customWidth="1"/>
    <col min="4" max="4" width="11.5" style="10" customWidth="1"/>
    <col min="5" max="5" width="6.6640625" style="10" customWidth="1"/>
    <col min="6" max="6" width="25.33203125" style="10" customWidth="1"/>
    <col min="7" max="9" width="21.1640625" style="10" customWidth="1"/>
    <col min="10" max="11" width="21.5" style="10" customWidth="1"/>
    <col min="12" max="12" width="11.5" style="10" customWidth="1"/>
    <col min="13" max="13" width="10.6640625" style="10" customWidth="1"/>
    <col min="14" max="14" width="13.5" style="10" customWidth="1"/>
    <col min="15" max="15" width="23" style="10" customWidth="1"/>
    <col min="16" max="16" width="24" style="10" customWidth="1"/>
    <col min="17" max="17" width="17" style="10" customWidth="1"/>
    <col min="18" max="18" width="24" style="10" customWidth="1"/>
    <col min="19" max="19" width="23.33203125" style="10" customWidth="1"/>
    <col min="20" max="21" width="11.5" style="10" customWidth="1"/>
    <col min="22" max="22" width="19" style="10" customWidth="1"/>
    <col min="23" max="23" width="28" style="10" customWidth="1"/>
    <col min="24" max="16384" width="11.5" style="10" hidden="1"/>
  </cols>
  <sheetData>
    <row r="1" spans="1:25" ht="14" x14ac:dyDescent="0.15">
      <c r="A1" s="9" t="s">
        <v>89</v>
      </c>
    </row>
    <row r="2" spans="1:25" s="11" customFormat="1" x14ac:dyDescent="0.15"/>
    <row r="3" spans="1:25" s="11" customFormat="1" ht="12" x14ac:dyDescent="0.15">
      <c r="B3" s="12" t="s">
        <v>90</v>
      </c>
      <c r="C3" s="148" t="s">
        <v>91</v>
      </c>
      <c r="D3" s="148"/>
      <c r="F3" s="12" t="s">
        <v>92</v>
      </c>
      <c r="G3" s="13" t="s">
        <v>93</v>
      </c>
      <c r="H3" s="13" t="s">
        <v>94</v>
      </c>
      <c r="I3" s="148" t="s">
        <v>91</v>
      </c>
      <c r="J3" s="148"/>
      <c r="K3" s="148"/>
      <c r="L3" s="148"/>
      <c r="N3" s="12" t="s">
        <v>95</v>
      </c>
      <c r="O3" s="148" t="s">
        <v>91</v>
      </c>
      <c r="P3" s="148"/>
      <c r="Q3" s="148"/>
    </row>
    <row r="4" spans="1:25" s="11" customFormat="1" ht="53.5" customHeight="1" x14ac:dyDescent="0.15">
      <c r="B4" s="14" t="s">
        <v>28</v>
      </c>
      <c r="C4" s="134" t="s">
        <v>261</v>
      </c>
      <c r="D4" s="135"/>
      <c r="F4" s="141" t="s">
        <v>96</v>
      </c>
      <c r="G4" s="141" t="s">
        <v>97</v>
      </c>
      <c r="H4" s="143" t="s">
        <v>98</v>
      </c>
      <c r="I4" s="151" t="s">
        <v>265</v>
      </c>
      <c r="J4" s="152"/>
      <c r="K4" s="152"/>
      <c r="L4" s="153"/>
      <c r="N4" s="15" t="s">
        <v>99</v>
      </c>
      <c r="O4" s="134" t="s">
        <v>100</v>
      </c>
      <c r="P4" s="135"/>
      <c r="Q4" s="135"/>
    </row>
    <row r="5" spans="1:25" s="11" customFormat="1" ht="53.5" customHeight="1" x14ac:dyDescent="0.15">
      <c r="B5" s="14" t="s">
        <v>47</v>
      </c>
      <c r="C5" s="134" t="s">
        <v>262</v>
      </c>
      <c r="D5" s="134"/>
      <c r="F5" s="149"/>
      <c r="G5" s="149"/>
      <c r="H5" s="150"/>
      <c r="I5" s="154"/>
      <c r="J5" s="155"/>
      <c r="K5" s="155"/>
      <c r="L5" s="156"/>
      <c r="N5" s="15" t="s">
        <v>101</v>
      </c>
      <c r="O5" s="134" t="s">
        <v>102</v>
      </c>
      <c r="P5" s="135"/>
      <c r="Q5" s="135"/>
    </row>
    <row r="6" spans="1:25" s="11" customFormat="1" ht="60" customHeight="1" x14ac:dyDescent="0.15">
      <c r="F6" s="142"/>
      <c r="G6" s="142"/>
      <c r="H6" s="144"/>
      <c r="I6" s="157"/>
      <c r="J6" s="158"/>
      <c r="K6" s="158"/>
      <c r="L6" s="159"/>
      <c r="N6" s="15" t="s">
        <v>103</v>
      </c>
      <c r="O6" s="134" t="s">
        <v>104</v>
      </c>
      <c r="P6" s="135"/>
      <c r="Q6" s="135"/>
    </row>
    <row r="7" spans="1:25" s="11" customFormat="1" ht="79.5" customHeight="1" x14ac:dyDescent="0.15">
      <c r="B7" s="12" t="s">
        <v>105</v>
      </c>
      <c r="C7" s="148" t="s">
        <v>91</v>
      </c>
      <c r="D7" s="148"/>
      <c r="F7" s="16" t="s">
        <v>106</v>
      </c>
      <c r="G7" s="17" t="s">
        <v>98</v>
      </c>
      <c r="H7" s="17" t="s">
        <v>107</v>
      </c>
      <c r="I7" s="133" t="s">
        <v>108</v>
      </c>
      <c r="J7" s="133"/>
      <c r="K7" s="133"/>
      <c r="L7" s="133"/>
      <c r="N7" s="18" t="s">
        <v>109</v>
      </c>
      <c r="O7" s="134" t="s">
        <v>110</v>
      </c>
      <c r="P7" s="135"/>
      <c r="Q7" s="135"/>
    </row>
    <row r="8" spans="1:25" s="11" customFormat="1" ht="24" x14ac:dyDescent="0.15">
      <c r="B8" s="19" t="s">
        <v>29</v>
      </c>
      <c r="C8" s="146" t="s">
        <v>111</v>
      </c>
      <c r="D8" s="147"/>
      <c r="F8" s="16" t="s">
        <v>112</v>
      </c>
      <c r="G8" s="17" t="s">
        <v>113</v>
      </c>
      <c r="H8" s="16" t="s">
        <v>114</v>
      </c>
      <c r="I8" s="133" t="s">
        <v>115</v>
      </c>
      <c r="J8" s="133"/>
      <c r="K8" s="133"/>
      <c r="L8" s="133"/>
      <c r="N8" s="18" t="s">
        <v>116</v>
      </c>
      <c r="O8" s="134" t="s">
        <v>117</v>
      </c>
      <c r="P8" s="135"/>
      <c r="Q8" s="135"/>
    </row>
    <row r="9" spans="1:25" s="11" customFormat="1" ht="52.25" customHeight="1" x14ac:dyDescent="0.15">
      <c r="B9" s="19" t="s">
        <v>48</v>
      </c>
      <c r="C9" s="139" t="s">
        <v>118</v>
      </c>
      <c r="D9" s="140"/>
      <c r="F9" s="141" t="s">
        <v>61</v>
      </c>
      <c r="G9" s="141" t="s">
        <v>114</v>
      </c>
      <c r="H9" s="143" t="s">
        <v>119</v>
      </c>
      <c r="I9" s="134" t="s">
        <v>120</v>
      </c>
      <c r="J9" s="134"/>
      <c r="K9" s="134"/>
      <c r="L9" s="134"/>
      <c r="N9" s="18" t="s">
        <v>121</v>
      </c>
      <c r="O9" s="134" t="s">
        <v>122</v>
      </c>
      <c r="P9" s="135"/>
      <c r="Q9" s="135"/>
    </row>
    <row r="10" spans="1:25" s="11" customFormat="1" ht="23" customHeight="1" x14ac:dyDescent="0.15">
      <c r="F10" s="142"/>
      <c r="G10" s="142"/>
      <c r="H10" s="144"/>
      <c r="I10" s="134"/>
      <c r="J10" s="134"/>
      <c r="K10" s="134"/>
      <c r="L10" s="134"/>
      <c r="N10" s="133" t="s">
        <v>123</v>
      </c>
      <c r="O10" s="134" t="s">
        <v>124</v>
      </c>
      <c r="P10" s="134"/>
      <c r="Q10" s="134"/>
    </row>
    <row r="11" spans="1:25" s="11" customFormat="1" ht="39" customHeight="1" x14ac:dyDescent="0.15">
      <c r="N11" s="133"/>
      <c r="O11" s="134"/>
      <c r="P11" s="134"/>
      <c r="Q11" s="134"/>
    </row>
    <row r="12" spans="1:25" s="11" customFormat="1" ht="53" customHeight="1" x14ac:dyDescent="0.15">
      <c r="H12" s="20"/>
      <c r="I12" s="20"/>
      <c r="N12" s="18" t="s">
        <v>125</v>
      </c>
      <c r="O12" s="134" t="s">
        <v>126</v>
      </c>
      <c r="P12" s="134"/>
      <c r="Q12" s="134"/>
    </row>
    <row r="13" spans="1:25" s="11" customFormat="1" x14ac:dyDescent="0.15">
      <c r="F13" s="20"/>
      <c r="G13" s="20"/>
      <c r="H13" s="20"/>
      <c r="I13" s="20"/>
    </row>
    <row r="14" spans="1:25" s="11" customFormat="1" x14ac:dyDescent="0.15">
      <c r="C14" s="145" t="s">
        <v>127</v>
      </c>
      <c r="D14" s="145"/>
      <c r="F14" s="132" t="s">
        <v>128</v>
      </c>
      <c r="G14" s="132"/>
      <c r="H14" s="132"/>
      <c r="I14" s="132"/>
      <c r="J14" s="132"/>
      <c r="K14" s="132"/>
      <c r="L14" s="132"/>
      <c r="O14" s="136" t="s">
        <v>129</v>
      </c>
      <c r="P14" s="137"/>
      <c r="Q14" s="137"/>
      <c r="R14" s="137"/>
      <c r="S14" s="137"/>
      <c r="T14" s="137"/>
      <c r="U14" s="138"/>
      <c r="X14" s="128" t="s">
        <v>130</v>
      </c>
      <c r="Y14" s="129"/>
    </row>
    <row r="15" spans="1:25" s="11" customFormat="1" ht="63" customHeight="1" x14ac:dyDescent="0.15">
      <c r="C15" s="21" t="s">
        <v>131</v>
      </c>
      <c r="D15" s="21" t="s">
        <v>132</v>
      </c>
      <c r="F15" s="136" t="s">
        <v>129</v>
      </c>
      <c r="G15" s="137"/>
      <c r="H15" s="137"/>
      <c r="I15" s="137"/>
      <c r="J15" s="137"/>
      <c r="K15" s="137"/>
      <c r="L15" s="138"/>
      <c r="N15" s="22"/>
      <c r="O15" s="131" t="s">
        <v>133</v>
      </c>
      <c r="P15" s="131"/>
      <c r="Q15" s="17" t="s">
        <v>134</v>
      </c>
      <c r="R15" s="17" t="s">
        <v>135</v>
      </c>
      <c r="S15" s="17" t="s">
        <v>136</v>
      </c>
      <c r="T15" s="17" t="s">
        <v>264</v>
      </c>
      <c r="U15" s="17" t="s">
        <v>137</v>
      </c>
      <c r="X15" s="23" t="s">
        <v>138</v>
      </c>
      <c r="Y15" s="21" t="s">
        <v>131</v>
      </c>
    </row>
    <row r="16" spans="1:25" s="11" customFormat="1" ht="51.75" customHeight="1" x14ac:dyDescent="0.15">
      <c r="B16" s="130" t="s">
        <v>139</v>
      </c>
      <c r="C16" s="24" t="s">
        <v>140</v>
      </c>
      <c r="D16" s="16">
        <v>1</v>
      </c>
      <c r="E16" s="20"/>
      <c r="F16" s="131" t="s">
        <v>133</v>
      </c>
      <c r="G16" s="131"/>
      <c r="H16" s="17" t="s">
        <v>134</v>
      </c>
      <c r="I16" s="17" t="s">
        <v>135</v>
      </c>
      <c r="J16" s="17" t="s">
        <v>136</v>
      </c>
      <c r="K16" s="17" t="s">
        <v>264</v>
      </c>
      <c r="L16" s="17" t="s">
        <v>137</v>
      </c>
      <c r="O16" s="131" t="s">
        <v>141</v>
      </c>
      <c r="P16" s="131"/>
      <c r="Q16" s="17" t="s">
        <v>263</v>
      </c>
      <c r="R16" s="17" t="s">
        <v>142</v>
      </c>
      <c r="S16" s="17" t="s">
        <v>143</v>
      </c>
      <c r="T16" s="17" t="s">
        <v>144</v>
      </c>
      <c r="U16" s="17" t="s">
        <v>145</v>
      </c>
      <c r="X16" s="25" t="s">
        <v>146</v>
      </c>
      <c r="Y16" s="17" t="s">
        <v>147</v>
      </c>
    </row>
    <row r="17" spans="2:25" s="11" customFormat="1" ht="48" x14ac:dyDescent="0.15">
      <c r="B17" s="130"/>
      <c r="C17" s="24" t="s">
        <v>148</v>
      </c>
      <c r="D17" s="16">
        <v>2</v>
      </c>
      <c r="E17" s="20"/>
      <c r="F17" s="131" t="s">
        <v>141</v>
      </c>
      <c r="G17" s="131"/>
      <c r="H17" s="17" t="s">
        <v>263</v>
      </c>
      <c r="I17" s="17" t="s">
        <v>142</v>
      </c>
      <c r="J17" s="17" t="s">
        <v>143</v>
      </c>
      <c r="K17" s="17" t="s">
        <v>144</v>
      </c>
      <c r="L17" s="17" t="s">
        <v>145</v>
      </c>
      <c r="O17" s="132" t="s">
        <v>131</v>
      </c>
      <c r="P17" s="132" t="s">
        <v>149</v>
      </c>
      <c r="Q17" s="21" t="s">
        <v>150</v>
      </c>
      <c r="R17" s="21" t="s">
        <v>151</v>
      </c>
      <c r="S17" s="21" t="s">
        <v>152</v>
      </c>
      <c r="T17" s="21" t="s">
        <v>153</v>
      </c>
      <c r="U17" s="21" t="s">
        <v>154</v>
      </c>
      <c r="X17" s="26" t="s">
        <v>155</v>
      </c>
      <c r="Y17" s="17" t="s">
        <v>156</v>
      </c>
    </row>
    <row r="18" spans="2:25" s="11" customFormat="1" ht="24" x14ac:dyDescent="0.15">
      <c r="B18" s="130"/>
      <c r="C18" s="24" t="s">
        <v>157</v>
      </c>
      <c r="D18" s="16">
        <v>3</v>
      </c>
      <c r="E18" s="20"/>
      <c r="F18" s="132" t="s">
        <v>131</v>
      </c>
      <c r="G18" s="132" t="s">
        <v>149</v>
      </c>
      <c r="H18" s="21" t="s">
        <v>150</v>
      </c>
      <c r="I18" s="21" t="s">
        <v>151</v>
      </c>
      <c r="J18" s="21" t="s">
        <v>152</v>
      </c>
      <c r="K18" s="21" t="s">
        <v>153</v>
      </c>
      <c r="L18" s="21" t="s">
        <v>154</v>
      </c>
      <c r="O18" s="132"/>
      <c r="P18" s="132"/>
      <c r="Q18" s="16">
        <v>1</v>
      </c>
      <c r="R18" s="16">
        <v>2</v>
      </c>
      <c r="S18" s="16">
        <v>3</v>
      </c>
      <c r="T18" s="16">
        <v>4</v>
      </c>
      <c r="U18" s="16">
        <v>5</v>
      </c>
      <c r="X18" s="27">
        <v>5</v>
      </c>
      <c r="Y18" s="17" t="s">
        <v>158</v>
      </c>
    </row>
    <row r="19" spans="2:25" s="11" customFormat="1" ht="51.75" customHeight="1" x14ac:dyDescent="0.15">
      <c r="B19" s="130"/>
      <c r="C19" s="24" t="s">
        <v>159</v>
      </c>
      <c r="D19" s="16">
        <v>4</v>
      </c>
      <c r="E19" s="20"/>
      <c r="F19" s="132"/>
      <c r="G19" s="132"/>
      <c r="H19" s="16">
        <v>1</v>
      </c>
      <c r="I19" s="16">
        <v>2</v>
      </c>
      <c r="J19" s="16">
        <v>3</v>
      </c>
      <c r="K19" s="16">
        <v>4</v>
      </c>
      <c r="L19" s="16">
        <v>5</v>
      </c>
      <c r="N19" s="130" t="s">
        <v>139</v>
      </c>
      <c r="O19" s="24" t="s">
        <v>140</v>
      </c>
      <c r="P19" s="16">
        <v>1</v>
      </c>
      <c r="Q19" s="28">
        <v>2</v>
      </c>
      <c r="R19" s="28">
        <v>3</v>
      </c>
      <c r="S19" s="28">
        <v>4</v>
      </c>
      <c r="T19" s="27">
        <v>5</v>
      </c>
      <c r="U19" s="26">
        <v>6</v>
      </c>
      <c r="X19" s="28" t="s">
        <v>160</v>
      </c>
      <c r="Y19" s="17" t="s">
        <v>161</v>
      </c>
    </row>
    <row r="20" spans="2:25" s="11" customFormat="1" ht="24" x14ac:dyDescent="0.15">
      <c r="B20" s="130"/>
      <c r="C20" s="24" t="s">
        <v>162</v>
      </c>
      <c r="D20" s="16">
        <v>5</v>
      </c>
      <c r="E20" s="20"/>
      <c r="F20" s="20"/>
      <c r="G20" s="20"/>
      <c r="H20" s="20"/>
      <c r="I20" s="20"/>
      <c r="J20" s="20"/>
      <c r="K20" s="20"/>
      <c r="N20" s="130"/>
      <c r="O20" s="24" t="s">
        <v>148</v>
      </c>
      <c r="P20" s="16">
        <v>2</v>
      </c>
      <c r="Q20" s="28">
        <v>3</v>
      </c>
      <c r="R20" s="28">
        <v>4</v>
      </c>
      <c r="S20" s="27">
        <v>5</v>
      </c>
      <c r="T20" s="26">
        <v>6</v>
      </c>
      <c r="U20" s="26">
        <v>7</v>
      </c>
    </row>
    <row r="21" spans="2:25" s="11" customFormat="1" ht="36" x14ac:dyDescent="0.15">
      <c r="F21" s="20"/>
      <c r="G21" s="20"/>
      <c r="H21" s="20"/>
      <c r="I21" s="20"/>
      <c r="J21" s="20"/>
      <c r="K21" s="20"/>
      <c r="N21" s="130"/>
      <c r="O21" s="24" t="s">
        <v>157</v>
      </c>
      <c r="P21" s="16">
        <v>3</v>
      </c>
      <c r="Q21" s="28">
        <v>4</v>
      </c>
      <c r="R21" s="27">
        <v>5</v>
      </c>
      <c r="S21" s="26">
        <v>6</v>
      </c>
      <c r="T21" s="26">
        <v>7</v>
      </c>
      <c r="U21" s="25">
        <v>8</v>
      </c>
      <c r="X21" s="29" t="s">
        <v>163</v>
      </c>
      <c r="Y21" s="29" t="s">
        <v>164</v>
      </c>
    </row>
    <row r="22" spans="2:25" s="11" customFormat="1" ht="24" x14ac:dyDescent="0.15">
      <c r="B22" s="11" t="s">
        <v>165</v>
      </c>
      <c r="N22" s="130"/>
      <c r="O22" s="24" t="s">
        <v>159</v>
      </c>
      <c r="P22" s="16">
        <v>4</v>
      </c>
      <c r="Q22" s="27">
        <v>5</v>
      </c>
      <c r="R22" s="26">
        <v>6</v>
      </c>
      <c r="S22" s="26">
        <v>7</v>
      </c>
      <c r="T22" s="25">
        <v>8</v>
      </c>
      <c r="U22" s="25">
        <v>9</v>
      </c>
      <c r="X22" s="11" t="s">
        <v>166</v>
      </c>
      <c r="Y22" s="11" t="s">
        <v>167</v>
      </c>
    </row>
    <row r="23" spans="2:25" s="11" customFormat="1" ht="24" x14ac:dyDescent="0.15">
      <c r="N23" s="130"/>
      <c r="O23" s="24" t="s">
        <v>162</v>
      </c>
      <c r="P23" s="16">
        <v>5</v>
      </c>
      <c r="Q23" s="26">
        <v>6</v>
      </c>
      <c r="R23" s="26">
        <v>7</v>
      </c>
      <c r="S23" s="25">
        <v>8</v>
      </c>
      <c r="T23" s="25">
        <v>9</v>
      </c>
      <c r="U23" s="25">
        <v>10</v>
      </c>
      <c r="X23" s="11" t="s">
        <v>83</v>
      </c>
      <c r="Y23" s="11" t="s">
        <v>63</v>
      </c>
    </row>
    <row r="24" spans="2:25" s="11" customFormat="1" x14ac:dyDescent="0.15">
      <c r="X24" s="11" t="s">
        <v>168</v>
      </c>
    </row>
    <row r="26" spans="2:25" hidden="1" x14ac:dyDescent="0.15">
      <c r="C26" s="10" t="s">
        <v>169</v>
      </c>
      <c r="D26" s="10" t="s">
        <v>5</v>
      </c>
      <c r="F26" s="10" t="s">
        <v>10</v>
      </c>
      <c r="G26" s="10" t="s">
        <v>11</v>
      </c>
      <c r="H26" s="10" t="s">
        <v>170</v>
      </c>
    </row>
    <row r="27" spans="2:25" hidden="1" x14ac:dyDescent="0.15">
      <c r="C27" s="10" t="s">
        <v>28</v>
      </c>
      <c r="D27" s="10" t="s">
        <v>29</v>
      </c>
      <c r="F27" s="10" t="s">
        <v>171</v>
      </c>
      <c r="G27" s="10" t="s">
        <v>172</v>
      </c>
      <c r="H27" s="10" t="s">
        <v>167</v>
      </c>
      <c r="P27" s="30"/>
      <c r="Q27" s="30"/>
      <c r="R27" s="30"/>
      <c r="S27" s="30"/>
      <c r="T27" s="30"/>
    </row>
    <row r="28" spans="2:25" hidden="1" x14ac:dyDescent="0.15">
      <c r="C28" s="10" t="s">
        <v>47</v>
      </c>
      <c r="D28" s="10" t="s">
        <v>48</v>
      </c>
      <c r="F28" s="10" t="s">
        <v>173</v>
      </c>
      <c r="G28" s="10" t="s">
        <v>174</v>
      </c>
      <c r="H28" s="10" t="s">
        <v>63</v>
      </c>
      <c r="P28" s="30"/>
      <c r="Q28" s="30"/>
      <c r="R28" s="30"/>
      <c r="S28" s="30"/>
      <c r="T28" s="30"/>
    </row>
    <row r="29" spans="2:25" hidden="1" x14ac:dyDescent="0.15">
      <c r="F29" s="10" t="s">
        <v>175</v>
      </c>
      <c r="G29" s="10" t="s">
        <v>176</v>
      </c>
      <c r="P29" s="30"/>
      <c r="Q29" s="30"/>
      <c r="R29" s="30"/>
      <c r="S29" s="30"/>
      <c r="T29" s="30"/>
    </row>
    <row r="30" spans="2:25" hidden="1" x14ac:dyDescent="0.15">
      <c r="F30" s="10" t="s">
        <v>177</v>
      </c>
      <c r="G30" s="10" t="s">
        <v>178</v>
      </c>
      <c r="P30" s="30"/>
      <c r="Q30" s="30"/>
      <c r="R30" s="30"/>
      <c r="S30" s="30"/>
      <c r="T30" s="30"/>
    </row>
    <row r="31" spans="2:25" hidden="1" x14ac:dyDescent="0.15">
      <c r="F31" s="10" t="s">
        <v>179</v>
      </c>
      <c r="G31" s="10" t="s">
        <v>180</v>
      </c>
      <c r="P31" s="30"/>
      <c r="Q31" s="30"/>
      <c r="R31" s="30"/>
      <c r="S31" s="30"/>
      <c r="T31" s="30"/>
    </row>
    <row r="36" ht="26.25" hidden="1" customHeight="1" x14ac:dyDescent="0.15"/>
    <row r="56" x14ac:dyDescent="0.15"/>
    <row r="57" x14ac:dyDescent="0.15"/>
    <row r="58" x14ac:dyDescent="0.15"/>
    <row r="59" x14ac:dyDescent="0.15"/>
    <row r="60" x14ac:dyDescent="0.15"/>
    <row r="61" x14ac:dyDescent="0.15"/>
    <row r="62" x14ac:dyDescent="0.15"/>
    <row r="63" x14ac:dyDescent="0.15"/>
    <row r="64" x14ac:dyDescent="0.15"/>
    <row r="65" x14ac:dyDescent="0.15"/>
    <row r="66" x14ac:dyDescent="0.15"/>
    <row r="67" x14ac:dyDescent="0.15"/>
    <row r="68" x14ac:dyDescent="0.15"/>
  </sheetData>
  <mergeCells count="42">
    <mergeCell ref="C8:D8"/>
    <mergeCell ref="I8:L8"/>
    <mergeCell ref="O8:Q8"/>
    <mergeCell ref="C3:D3"/>
    <mergeCell ref="I3:L3"/>
    <mergeCell ref="O3:Q3"/>
    <mergeCell ref="C4:D4"/>
    <mergeCell ref="F4:F6"/>
    <mergeCell ref="G4:G6"/>
    <mergeCell ref="H4:H6"/>
    <mergeCell ref="I4:L6"/>
    <mergeCell ref="O4:Q4"/>
    <mergeCell ref="C5:D5"/>
    <mergeCell ref="O5:Q5"/>
    <mergeCell ref="O6:Q6"/>
    <mergeCell ref="C7:D7"/>
    <mergeCell ref="I7:L7"/>
    <mergeCell ref="O7:Q7"/>
    <mergeCell ref="F15:L15"/>
    <mergeCell ref="O15:P15"/>
    <mergeCell ref="C9:D9"/>
    <mergeCell ref="F9:F10"/>
    <mergeCell ref="G9:G10"/>
    <mergeCell ref="H9:H10"/>
    <mergeCell ref="I9:L10"/>
    <mergeCell ref="O9:Q9"/>
    <mergeCell ref="N10:N11"/>
    <mergeCell ref="O10:Q11"/>
    <mergeCell ref="O12:Q12"/>
    <mergeCell ref="C14:D14"/>
    <mergeCell ref="F14:L14"/>
    <mergeCell ref="O14:U14"/>
    <mergeCell ref="X14:Y14"/>
    <mergeCell ref="B16:B20"/>
    <mergeCell ref="F16:G16"/>
    <mergeCell ref="O16:P16"/>
    <mergeCell ref="F17:G17"/>
    <mergeCell ref="O17:O18"/>
    <mergeCell ref="P17:P18"/>
    <mergeCell ref="F18:F19"/>
    <mergeCell ref="G18:G19"/>
    <mergeCell ref="N19:N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Matriz riesgos</vt:lpstr>
      <vt:lpstr>TABLAS VALORACIÓN</vt:lpstr>
      <vt:lpstr>ASIGNACIÓN</vt:lpstr>
      <vt:lpstr>CLASE</vt:lpstr>
      <vt:lpstr>FUENTE</vt:lpstr>
      <vt:lpstr>IMPACTO</vt:lpstr>
      <vt:lpstr>PROBABILIDAD</vt:lpstr>
      <vt:lpstr>'Matriz riesgos'!Títulos_a_imprimir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19474479</dc:creator>
  <cp:keywords/>
  <dc:description/>
  <cp:lastModifiedBy>Jose Daza</cp:lastModifiedBy>
  <cp:revision/>
  <dcterms:created xsi:type="dcterms:W3CDTF">2011-10-26T13:45:21Z</dcterms:created>
  <dcterms:modified xsi:type="dcterms:W3CDTF">2026-09-17T21:40:23Z</dcterms:modified>
  <cp:category/>
  <cp:contentStatus/>
</cp:coreProperties>
</file>