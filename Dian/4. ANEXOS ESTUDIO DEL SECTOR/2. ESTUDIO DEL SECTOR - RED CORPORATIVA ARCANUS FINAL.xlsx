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Usuarios\1030538210.DN0BOG01\Desktop\COTIZACIONES ARCANUS\"/>
    </mc:Choice>
  </mc:AlternateContent>
  <xr:revisionPtr revIDLastSave="0" documentId="13_ncr:1_{A5688655-04E8-46BD-A33D-C9803CA6BEF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0. Resumen Ejecutivo" sheetId="1" r:id="rId1"/>
    <sheet name="1. Parámetros" sheetId="2" r:id="rId2"/>
    <sheet name="D1. Conectividad" sheetId="3" r:id="rId3"/>
    <sheet name="D2. Seguridad" sheetId="4" r:id="rId4"/>
    <sheet name="D3. Videoconferencia" sheetId="5" r:id="rId5"/>
    <sheet name="D4. Cableado" sheetId="6" r:id="rId6"/>
    <sheet name="P6. Perfiles" sheetId="7" r:id="rId7"/>
    <sheet name="GG. Gastos Generales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6" i="3" l="1"/>
  <c r="G17" i="3"/>
  <c r="G18" i="3"/>
  <c r="G19" i="3"/>
  <c r="G20" i="3"/>
  <c r="G15" i="3"/>
  <c r="G7" i="3"/>
  <c r="G8" i="3"/>
  <c r="G9" i="3"/>
  <c r="G10" i="3"/>
  <c r="G11" i="3"/>
  <c r="G6" i="3"/>
  <c r="G30" i="4"/>
  <c r="G16" i="4"/>
  <c r="G17" i="4"/>
  <c r="G18" i="4"/>
  <c r="G19" i="4"/>
  <c r="G20" i="4"/>
  <c r="G21" i="4"/>
  <c r="G22" i="4"/>
  <c r="G23" i="4"/>
  <c r="G24" i="4"/>
  <c r="G25" i="4"/>
  <c r="G26" i="4"/>
  <c r="G27" i="4"/>
  <c r="G15" i="4"/>
  <c r="G7" i="4"/>
  <c r="G8" i="4"/>
  <c r="G9" i="4"/>
  <c r="G10" i="4"/>
  <c r="G11" i="4"/>
  <c r="G6" i="4"/>
  <c r="G15" i="5"/>
  <c r="G16" i="5"/>
  <c r="G17" i="5"/>
  <c r="G18" i="5"/>
  <c r="G19" i="5"/>
  <c r="G14" i="5"/>
  <c r="G7" i="5"/>
  <c r="G8" i="5"/>
  <c r="G9" i="5"/>
  <c r="G10" i="5"/>
  <c r="G6" i="5"/>
  <c r="G18" i="6"/>
  <c r="G17" i="6"/>
  <c r="G7" i="6"/>
  <c r="G8" i="6"/>
  <c r="G9" i="6"/>
  <c r="G10" i="6"/>
  <c r="G11" i="6"/>
  <c r="G12" i="6"/>
  <c r="G13" i="6"/>
  <c r="G6" i="6"/>
  <c r="J49" i="7"/>
  <c r="J50" i="7"/>
  <c r="J51" i="7"/>
  <c r="J52" i="7"/>
  <c r="J48" i="7"/>
  <c r="J43" i="7"/>
  <c r="J44" i="7"/>
  <c r="J45" i="7"/>
  <c r="J46" i="7"/>
  <c r="J42" i="7"/>
  <c r="J39" i="7"/>
  <c r="J40" i="7"/>
  <c r="J38" i="7"/>
  <c r="J33" i="7"/>
  <c r="J34" i="7"/>
  <c r="J35" i="7"/>
  <c r="J36" i="7"/>
  <c r="J32" i="7"/>
  <c r="J19" i="7"/>
  <c r="J20" i="7"/>
  <c r="J21" i="7"/>
  <c r="J22" i="7"/>
  <c r="J23" i="7"/>
  <c r="J24" i="7"/>
  <c r="J25" i="7"/>
  <c r="J26" i="7"/>
  <c r="J27" i="7"/>
  <c r="J28" i="7"/>
  <c r="J29" i="7"/>
  <c r="J30" i="7"/>
  <c r="J18" i="7"/>
  <c r="J12" i="7"/>
  <c r="J13" i="7"/>
  <c r="J14" i="7"/>
  <c r="J15" i="7"/>
  <c r="J16" i="7"/>
  <c r="J11" i="7"/>
  <c r="J7" i="7"/>
  <c r="J8" i="7"/>
  <c r="J9" i="7"/>
  <c r="J6" i="7"/>
  <c r="G23" i="8"/>
  <c r="G24" i="8"/>
  <c r="G25" i="8"/>
  <c r="G26" i="8"/>
  <c r="G27" i="8"/>
  <c r="G28" i="8"/>
  <c r="G29" i="8"/>
  <c r="G22" i="8"/>
  <c r="G16" i="8"/>
  <c r="G17" i="8"/>
  <c r="G18" i="8"/>
  <c r="G15" i="8"/>
  <c r="G6" i="8"/>
  <c r="G7" i="8"/>
  <c r="G8" i="8"/>
  <c r="G9" i="8"/>
  <c r="G10" i="8"/>
  <c r="G11" i="8"/>
  <c r="G5" i="8"/>
  <c r="X7" i="7"/>
  <c r="X6" i="7"/>
  <c r="X18" i="7"/>
  <c r="X24" i="7"/>
  <c r="X19" i="7"/>
  <c r="X20" i="7"/>
  <c r="X21" i="7"/>
  <c r="X22" i="7"/>
  <c r="X23" i="7"/>
  <c r="X25" i="7"/>
  <c r="X26" i="7"/>
  <c r="X27" i="7"/>
  <c r="X28" i="7"/>
  <c r="X29" i="7"/>
  <c r="X30" i="7"/>
  <c r="X34" i="7"/>
  <c r="X35" i="7"/>
  <c r="X33" i="7"/>
  <c r="X39" i="7"/>
  <c r="X38" i="7"/>
  <c r="X9" i="7"/>
  <c r="X8" i="7"/>
  <c r="X46" i="7"/>
  <c r="X45" i="7"/>
  <c r="X44" i="7"/>
  <c r="X43" i="7"/>
  <c r="X42" i="7"/>
  <c r="X52" i="7"/>
  <c r="X49" i="7"/>
  <c r="X50" i="7"/>
  <c r="X51" i="7"/>
  <c r="X48" i="7"/>
  <c r="X40" i="7"/>
  <c r="X36" i="7"/>
  <c r="X32" i="7"/>
  <c r="X16" i="7"/>
  <c r="X15" i="7"/>
  <c r="X14" i="7"/>
  <c r="X13" i="7"/>
  <c r="X12" i="7"/>
  <c r="X11" i="7"/>
  <c r="G30" i="8" l="1"/>
  <c r="G19" i="8"/>
  <c r="G12" i="8"/>
  <c r="V13" i="6" l="1"/>
  <c r="W13" i="6" s="1"/>
  <c r="V11" i="6"/>
  <c r="V6" i="6"/>
  <c r="W6" i="6" s="1"/>
  <c r="V10" i="6"/>
  <c r="W10" i="6" s="1"/>
  <c r="V15" i="5"/>
  <c r="W15" i="5" s="1"/>
  <c r="V18" i="5"/>
  <c r="V17" i="5"/>
  <c r="W17" i="5" s="1"/>
  <c r="V16" i="5"/>
  <c r="W16" i="5" s="1"/>
  <c r="V18" i="3"/>
  <c r="U29" i="8"/>
  <c r="U28" i="8"/>
  <c r="U27" i="8"/>
  <c r="U26" i="8"/>
  <c r="U25" i="8"/>
  <c r="U24" i="8"/>
  <c r="V24" i="8" s="1"/>
  <c r="U23" i="8"/>
  <c r="U22" i="8"/>
  <c r="U18" i="8"/>
  <c r="U17" i="8"/>
  <c r="U16" i="8"/>
  <c r="U15" i="8"/>
  <c r="V15" i="8" s="1"/>
  <c r="U11" i="8"/>
  <c r="V11" i="8" s="1"/>
  <c r="U10" i="8"/>
  <c r="V10" i="8" s="1"/>
  <c r="U9" i="8"/>
  <c r="U8" i="8"/>
  <c r="U7" i="8"/>
  <c r="U6" i="8"/>
  <c r="V6" i="8" s="1"/>
  <c r="U5" i="8"/>
  <c r="V5" i="8" s="1"/>
  <c r="S6" i="8"/>
  <c r="T6" i="8"/>
  <c r="S7" i="8"/>
  <c r="T7" i="8"/>
  <c r="V7" i="8"/>
  <c r="S8" i="8"/>
  <c r="T8" i="8"/>
  <c r="V8" i="8"/>
  <c r="S9" i="8"/>
  <c r="T9" i="8"/>
  <c r="V9" i="8"/>
  <c r="S10" i="8"/>
  <c r="T10" i="8"/>
  <c r="S11" i="8"/>
  <c r="T11" i="8"/>
  <c r="S15" i="8"/>
  <c r="T15" i="8"/>
  <c r="S16" i="8"/>
  <c r="T16" i="8"/>
  <c r="V16" i="8"/>
  <c r="S17" i="8"/>
  <c r="T17" i="8"/>
  <c r="V17" i="8"/>
  <c r="S18" i="8"/>
  <c r="T18" i="8"/>
  <c r="V18" i="8"/>
  <c r="S22" i="8"/>
  <c r="T22" i="8"/>
  <c r="V22" i="8"/>
  <c r="S23" i="8"/>
  <c r="T23" i="8"/>
  <c r="V23" i="8"/>
  <c r="S24" i="8"/>
  <c r="T24" i="8"/>
  <c r="S25" i="8"/>
  <c r="T25" i="8"/>
  <c r="V25" i="8"/>
  <c r="S26" i="8"/>
  <c r="T26" i="8"/>
  <c r="V26" i="8"/>
  <c r="S27" i="8"/>
  <c r="T27" i="8"/>
  <c r="V27" i="8"/>
  <c r="S28" i="8"/>
  <c r="T28" i="8"/>
  <c r="V28" i="8"/>
  <c r="S29" i="8"/>
  <c r="T29" i="8"/>
  <c r="V29" i="8"/>
  <c r="T5" i="8"/>
  <c r="S5" i="8"/>
  <c r="Y38" i="7"/>
  <c r="Y13" i="7"/>
  <c r="V7" i="7"/>
  <c r="Y7" i="7" s="1"/>
  <c r="W7" i="7"/>
  <c r="V8" i="7"/>
  <c r="Y8" i="7" s="1"/>
  <c r="W8" i="7"/>
  <c r="V9" i="7"/>
  <c r="W9" i="7"/>
  <c r="Y9" i="7"/>
  <c r="V11" i="7"/>
  <c r="Y11" i="7" s="1"/>
  <c r="W11" i="7"/>
  <c r="V12" i="7"/>
  <c r="W12" i="7"/>
  <c r="Y12" i="7"/>
  <c r="V13" i="7"/>
  <c r="W13" i="7"/>
  <c r="V14" i="7"/>
  <c r="Y14" i="7" s="1"/>
  <c r="W14" i="7"/>
  <c r="V15" i="7"/>
  <c r="W15" i="7"/>
  <c r="Y15" i="7"/>
  <c r="V16" i="7"/>
  <c r="Y16" i="7" s="1"/>
  <c r="W16" i="7"/>
  <c r="V18" i="7"/>
  <c r="Y18" i="7" s="1"/>
  <c r="W18" i="7"/>
  <c r="V19" i="7"/>
  <c r="W19" i="7"/>
  <c r="Y19" i="7"/>
  <c r="V20" i="7"/>
  <c r="W20" i="7"/>
  <c r="Y20" i="7"/>
  <c r="V21" i="7"/>
  <c r="Y21" i="7" s="1"/>
  <c r="W21" i="7"/>
  <c r="V22" i="7"/>
  <c r="Y22" i="7" s="1"/>
  <c r="W22" i="7"/>
  <c r="V23" i="7"/>
  <c r="Y23" i="7" s="1"/>
  <c r="W23" i="7"/>
  <c r="V24" i="7"/>
  <c r="Y24" i="7" s="1"/>
  <c r="W24" i="7"/>
  <c r="V25" i="7"/>
  <c r="Y25" i="7" s="1"/>
  <c r="W25" i="7"/>
  <c r="V26" i="7"/>
  <c r="Y26" i="7" s="1"/>
  <c r="W26" i="7"/>
  <c r="V27" i="7"/>
  <c r="W27" i="7"/>
  <c r="Y27" i="7"/>
  <c r="V28" i="7"/>
  <c r="W28" i="7"/>
  <c r="Y28" i="7"/>
  <c r="V29" i="7"/>
  <c r="Y29" i="7" s="1"/>
  <c r="W29" i="7"/>
  <c r="V30" i="7"/>
  <c r="W30" i="7"/>
  <c r="Y30" i="7"/>
  <c r="V32" i="7"/>
  <c r="W32" i="7"/>
  <c r="Y32" i="7"/>
  <c r="V33" i="7"/>
  <c r="Y33" i="7" s="1"/>
  <c r="W33" i="7"/>
  <c r="V34" i="7"/>
  <c r="W34" i="7"/>
  <c r="Y34" i="7"/>
  <c r="V35" i="7"/>
  <c r="W35" i="7"/>
  <c r="Y35" i="7"/>
  <c r="V36" i="7"/>
  <c r="Y36" i="7" s="1"/>
  <c r="W36" i="7"/>
  <c r="V38" i="7"/>
  <c r="W38" i="7"/>
  <c r="V39" i="7"/>
  <c r="Y39" i="7" s="1"/>
  <c r="W39" i="7"/>
  <c r="V40" i="7"/>
  <c r="Y40" i="7" s="1"/>
  <c r="W40" i="7"/>
  <c r="V42" i="7"/>
  <c r="W42" i="7"/>
  <c r="Y42" i="7"/>
  <c r="V43" i="7"/>
  <c r="Y43" i="7" s="1"/>
  <c r="W43" i="7"/>
  <c r="V44" i="7"/>
  <c r="W44" i="7"/>
  <c r="Y44" i="7"/>
  <c r="V45" i="7"/>
  <c r="W45" i="7"/>
  <c r="Y45" i="7"/>
  <c r="V46" i="7"/>
  <c r="Y46" i="7" s="1"/>
  <c r="W46" i="7"/>
  <c r="V48" i="7"/>
  <c r="Y48" i="7" s="1"/>
  <c r="W48" i="7"/>
  <c r="V49" i="7"/>
  <c r="Y49" i="7" s="1"/>
  <c r="W49" i="7"/>
  <c r="V50" i="7"/>
  <c r="Y50" i="7" s="1"/>
  <c r="W50" i="7"/>
  <c r="V51" i="7"/>
  <c r="W51" i="7"/>
  <c r="Y51" i="7"/>
  <c r="V52" i="7"/>
  <c r="Y52" i="7" s="1"/>
  <c r="W52" i="7"/>
  <c r="W6" i="7"/>
  <c r="V6" i="7"/>
  <c r="Y6" i="7" s="1"/>
  <c r="V17" i="6"/>
  <c r="V18" i="6"/>
  <c r="W18" i="6" s="1"/>
  <c r="V12" i="6"/>
  <c r="W12" i="6" s="1"/>
  <c r="W11" i="6"/>
  <c r="V9" i="6"/>
  <c r="W9" i="6" s="1"/>
  <c r="V8" i="6"/>
  <c r="W8" i="6" s="1"/>
  <c r="V7" i="6"/>
  <c r="W7" i="6" s="1"/>
  <c r="T7" i="6"/>
  <c r="U7" i="6"/>
  <c r="T8" i="6"/>
  <c r="U8" i="6"/>
  <c r="T9" i="6"/>
  <c r="U9" i="6"/>
  <c r="T10" i="6"/>
  <c r="U10" i="6"/>
  <c r="T11" i="6"/>
  <c r="U11" i="6"/>
  <c r="T12" i="6"/>
  <c r="U12" i="6"/>
  <c r="T13" i="6"/>
  <c r="U13" i="6"/>
  <c r="T17" i="6"/>
  <c r="U17" i="6"/>
  <c r="W17" i="6"/>
  <c r="T18" i="6"/>
  <c r="U18" i="6"/>
  <c r="U6" i="6"/>
  <c r="T6" i="6"/>
  <c r="V19" i="5"/>
  <c r="T19" i="5"/>
  <c r="T18" i="5"/>
  <c r="V14" i="5"/>
  <c r="W14" i="5" s="1"/>
  <c r="V10" i="5"/>
  <c r="W10" i="5" s="1"/>
  <c r="V9" i="5"/>
  <c r="W9" i="5" s="1"/>
  <c r="V8" i="5"/>
  <c r="T8" i="5"/>
  <c r="V7" i="5"/>
  <c r="U7" i="5"/>
  <c r="T7" i="5"/>
  <c r="V6" i="5"/>
  <c r="U6" i="5"/>
  <c r="T6" i="5"/>
  <c r="U8" i="5"/>
  <c r="T9" i="5"/>
  <c r="U9" i="5"/>
  <c r="T10" i="5"/>
  <c r="U10" i="5"/>
  <c r="T14" i="5"/>
  <c r="U14" i="5"/>
  <c r="T15" i="5"/>
  <c r="U15" i="5"/>
  <c r="T16" i="5"/>
  <c r="U16" i="5"/>
  <c r="T17" i="5"/>
  <c r="U17" i="5"/>
  <c r="U18" i="5"/>
  <c r="U19" i="5"/>
  <c r="W19" i="5"/>
  <c r="D11" i="1"/>
  <c r="V27" i="4"/>
  <c r="W27" i="4" s="1"/>
  <c r="V26" i="4"/>
  <c r="W26" i="4" s="1"/>
  <c r="V25" i="4"/>
  <c r="W25" i="4" s="1"/>
  <c r="V24" i="4"/>
  <c r="T24" i="4"/>
  <c r="V23" i="4"/>
  <c r="T23" i="4"/>
  <c r="V22" i="4"/>
  <c r="T22" i="4"/>
  <c r="V21" i="4"/>
  <c r="T21" i="4"/>
  <c r="V20" i="4"/>
  <c r="W20" i="4" s="1"/>
  <c r="V19" i="4"/>
  <c r="T19" i="4"/>
  <c r="V18" i="4"/>
  <c r="W18" i="4" s="1"/>
  <c r="U18" i="4"/>
  <c r="V17" i="4"/>
  <c r="T17" i="4"/>
  <c r="V16" i="4"/>
  <c r="T16" i="4"/>
  <c r="V15" i="4"/>
  <c r="W15" i="4" s="1"/>
  <c r="V11" i="4"/>
  <c r="W11" i="4" s="1"/>
  <c r="V10" i="4"/>
  <c r="W10" i="4" s="1"/>
  <c r="V9" i="4"/>
  <c r="T9" i="4"/>
  <c r="V8" i="4"/>
  <c r="W8" i="4" s="1"/>
  <c r="T7" i="4"/>
  <c r="V6" i="4"/>
  <c r="T6" i="4"/>
  <c r="U7" i="4"/>
  <c r="V7" i="4"/>
  <c r="W7" i="4"/>
  <c r="T8" i="4"/>
  <c r="U8" i="4"/>
  <c r="U9" i="4"/>
  <c r="T10" i="4"/>
  <c r="U10" i="4"/>
  <c r="T11" i="4"/>
  <c r="U11" i="4"/>
  <c r="T15" i="4"/>
  <c r="U15" i="4"/>
  <c r="U16" i="4"/>
  <c r="U17" i="4"/>
  <c r="T18" i="4"/>
  <c r="U19" i="4"/>
  <c r="T20" i="4"/>
  <c r="U20" i="4"/>
  <c r="U21" i="4"/>
  <c r="U22" i="4"/>
  <c r="U23" i="4"/>
  <c r="U24" i="4"/>
  <c r="T25" i="4"/>
  <c r="U25" i="4"/>
  <c r="T26" i="4"/>
  <c r="U26" i="4"/>
  <c r="T27" i="4"/>
  <c r="U27" i="4"/>
  <c r="U6" i="4"/>
  <c r="V10" i="3"/>
  <c r="V19" i="3"/>
  <c r="W19" i="3" s="1"/>
  <c r="V20" i="3"/>
  <c r="W20" i="3" s="1"/>
  <c r="W18" i="3"/>
  <c r="T18" i="3"/>
  <c r="V17" i="3"/>
  <c r="T17" i="3"/>
  <c r="V16" i="3"/>
  <c r="W16" i="3" s="1"/>
  <c r="V15" i="3"/>
  <c r="W15" i="3" s="1"/>
  <c r="V11" i="3"/>
  <c r="W11" i="3" s="1"/>
  <c r="T10" i="3"/>
  <c r="V9" i="3"/>
  <c r="T9" i="3"/>
  <c r="V8" i="3"/>
  <c r="U8" i="3"/>
  <c r="T8" i="3"/>
  <c r="V7" i="3"/>
  <c r="T7" i="3"/>
  <c r="V6" i="3"/>
  <c r="T6" i="3"/>
  <c r="T15" i="3"/>
  <c r="U15" i="3"/>
  <c r="T16" i="3"/>
  <c r="U16" i="3"/>
  <c r="U17" i="3"/>
  <c r="U18" i="3"/>
  <c r="T19" i="3"/>
  <c r="U19" i="3"/>
  <c r="T20" i="3"/>
  <c r="U20" i="3"/>
  <c r="U7" i="3"/>
  <c r="U9" i="3"/>
  <c r="U10" i="3"/>
  <c r="T11" i="3"/>
  <c r="U11" i="3"/>
  <c r="U6" i="3"/>
  <c r="W18" i="5" l="1"/>
  <c r="W8" i="5"/>
  <c r="W7" i="5"/>
  <c r="W6" i="5"/>
  <c r="W24" i="4"/>
  <c r="W23" i="4"/>
  <c r="W22" i="4"/>
  <c r="W21" i="4"/>
  <c r="W19" i="4"/>
  <c r="W17" i="4"/>
  <c r="W16" i="4"/>
  <c r="W9" i="4"/>
  <c r="W6" i="4"/>
  <c r="W17" i="3"/>
  <c r="W10" i="3"/>
  <c r="W9" i="3"/>
  <c r="W8" i="3"/>
  <c r="W7" i="3"/>
  <c r="W6" i="3"/>
  <c r="I52" i="7" l="1"/>
  <c r="G52" i="7"/>
  <c r="H52" i="7" s="1"/>
  <c r="I51" i="7"/>
  <c r="G51" i="7"/>
  <c r="H51" i="7" s="1"/>
  <c r="I50" i="7"/>
  <c r="G50" i="7"/>
  <c r="H50" i="7" s="1"/>
  <c r="I49" i="7"/>
  <c r="G49" i="7"/>
  <c r="H49" i="7" s="1"/>
  <c r="I48" i="7"/>
  <c r="G48" i="7"/>
  <c r="H48" i="7" s="1"/>
  <c r="I46" i="7"/>
  <c r="H46" i="7"/>
  <c r="G46" i="7"/>
  <c r="I45" i="7"/>
  <c r="H45" i="7"/>
  <c r="G45" i="7"/>
  <c r="I44" i="7"/>
  <c r="G44" i="7"/>
  <c r="H44" i="7" s="1"/>
  <c r="I43" i="7"/>
  <c r="G43" i="7"/>
  <c r="H43" i="7" s="1"/>
  <c r="I42" i="7"/>
  <c r="G42" i="7"/>
  <c r="H42" i="7" s="1"/>
  <c r="I40" i="7"/>
  <c r="G40" i="7"/>
  <c r="H40" i="7" s="1"/>
  <c r="I39" i="7"/>
  <c r="G39" i="7"/>
  <c r="H39" i="7" s="1"/>
  <c r="I38" i="7"/>
  <c r="G38" i="7"/>
  <c r="H38" i="7" s="1"/>
  <c r="I36" i="7"/>
  <c r="G36" i="7"/>
  <c r="H36" i="7" s="1"/>
  <c r="I35" i="7"/>
  <c r="G35" i="7"/>
  <c r="H35" i="7" s="1"/>
  <c r="I34" i="7"/>
  <c r="G34" i="7"/>
  <c r="H34" i="7" s="1"/>
  <c r="I33" i="7"/>
  <c r="G33" i="7"/>
  <c r="H33" i="7" s="1"/>
  <c r="I32" i="7"/>
  <c r="G32" i="7"/>
  <c r="H32" i="7" s="1"/>
  <c r="I30" i="7"/>
  <c r="G30" i="7"/>
  <c r="H30" i="7" s="1"/>
  <c r="I29" i="7"/>
  <c r="G29" i="7"/>
  <c r="H29" i="7" s="1"/>
  <c r="I28" i="7"/>
  <c r="G28" i="7"/>
  <c r="H28" i="7" s="1"/>
  <c r="I27" i="7"/>
  <c r="G27" i="7"/>
  <c r="H27" i="7" s="1"/>
  <c r="I26" i="7"/>
  <c r="G26" i="7"/>
  <c r="H26" i="7" s="1"/>
  <c r="I25" i="7"/>
  <c r="G25" i="7"/>
  <c r="H25" i="7" s="1"/>
  <c r="I24" i="7"/>
  <c r="G24" i="7"/>
  <c r="H24" i="7" s="1"/>
  <c r="I23" i="7"/>
  <c r="G23" i="7"/>
  <c r="H23" i="7" s="1"/>
  <c r="I22" i="7"/>
  <c r="G22" i="7"/>
  <c r="H22" i="7" s="1"/>
  <c r="I21" i="7"/>
  <c r="G21" i="7"/>
  <c r="H21" i="7" s="1"/>
  <c r="I20" i="7"/>
  <c r="G20" i="7"/>
  <c r="H20" i="7" s="1"/>
  <c r="I19" i="7"/>
  <c r="G19" i="7"/>
  <c r="H19" i="7" s="1"/>
  <c r="I18" i="7"/>
  <c r="G18" i="7"/>
  <c r="H18" i="7" s="1"/>
  <c r="I16" i="7"/>
  <c r="G16" i="7"/>
  <c r="H16" i="7" s="1"/>
  <c r="I15" i="7"/>
  <c r="G15" i="7"/>
  <c r="H15" i="7" s="1"/>
  <c r="I14" i="7"/>
  <c r="G14" i="7"/>
  <c r="H14" i="7" s="1"/>
  <c r="I13" i="7"/>
  <c r="G13" i="7"/>
  <c r="H13" i="7" s="1"/>
  <c r="I12" i="7"/>
  <c r="G12" i="7"/>
  <c r="H12" i="7" s="1"/>
  <c r="I11" i="7"/>
  <c r="G11" i="7"/>
  <c r="H11" i="7" s="1"/>
  <c r="I9" i="7"/>
  <c r="G9" i="7"/>
  <c r="H9" i="7" s="1"/>
  <c r="I8" i="7"/>
  <c r="H8" i="7"/>
  <c r="G8" i="7"/>
  <c r="I7" i="7"/>
  <c r="G7" i="7"/>
  <c r="H7" i="7" s="1"/>
  <c r="I6" i="7"/>
  <c r="G6" i="7"/>
  <c r="H6" i="7" s="1"/>
  <c r="G19" i="6"/>
  <c r="D7" i="6"/>
  <c r="D6" i="6"/>
  <c r="D18" i="5"/>
  <c r="D17" i="5"/>
  <c r="D16" i="5"/>
  <c r="D15" i="5"/>
  <c r="D14" i="5"/>
  <c r="F10" i="5"/>
  <c r="F9" i="5"/>
  <c r="F8" i="5"/>
  <c r="F7" i="5"/>
  <c r="F6" i="5"/>
  <c r="D6" i="5"/>
  <c r="D27" i="4"/>
  <c r="F25" i="4"/>
  <c r="F24" i="4"/>
  <c r="D24" i="4"/>
  <c r="F23" i="4"/>
  <c r="F22" i="4"/>
  <c r="D22" i="4"/>
  <c r="F21" i="4"/>
  <c r="D21" i="4"/>
  <c r="F20" i="4"/>
  <c r="F19" i="4"/>
  <c r="D19" i="4"/>
  <c r="F18" i="4"/>
  <c r="F17" i="4"/>
  <c r="F16" i="4"/>
  <c r="F15" i="4"/>
  <c r="F11" i="4"/>
  <c r="F10" i="4"/>
  <c r="D10" i="4"/>
  <c r="F9" i="4"/>
  <c r="F8" i="4"/>
  <c r="D8" i="4"/>
  <c r="F7" i="4"/>
  <c r="D7" i="4"/>
  <c r="F6" i="4"/>
  <c r="D6" i="4"/>
  <c r="F11" i="3"/>
  <c r="D11" i="3"/>
  <c r="F10" i="3"/>
  <c r="D10" i="3"/>
  <c r="F9" i="3"/>
  <c r="D9" i="3"/>
  <c r="F8" i="3"/>
  <c r="D8" i="3"/>
  <c r="F7" i="3"/>
  <c r="D7" i="3"/>
  <c r="F6" i="3"/>
  <c r="D6" i="3"/>
  <c r="D13" i="1"/>
  <c r="D15" i="1" s="1"/>
  <c r="E10" i="1"/>
  <c r="E9" i="1"/>
  <c r="E8" i="1"/>
  <c r="E7" i="1"/>
  <c r="E6" i="1"/>
  <c r="E5" i="1"/>
  <c r="D14" i="1" l="1"/>
  <c r="G14" i="6"/>
  <c r="G21" i="6" s="1"/>
  <c r="G11" i="5"/>
  <c r="G12" i="4"/>
  <c r="G21" i="3"/>
  <c r="G20" i="5"/>
  <c r="G22" i="5" l="1"/>
  <c r="G32" i="8"/>
  <c r="J54" i="7"/>
  <c r="G28" i="4"/>
  <c r="G12" i="3"/>
  <c r="G23" i="3" s="1"/>
</calcChain>
</file>

<file path=xl/sharedStrings.xml><?xml version="1.0" encoding="utf-8"?>
<sst xmlns="http://schemas.openxmlformats.org/spreadsheetml/2006/main" count="608" uniqueCount="416">
  <si>
    <t xml:space="preserve">                    PRESTAR LOS SERVICIOS DE TELECOMUNICACIONES DE RED CORPORATIVA WAN-LAN, SEGURIDAD INFORMÁTICA Y VIDEOCONFERENCIA PARA LA FISCALÍA GENERAL DE LA NACIÓN </t>
  </si>
  <si>
    <t>Servicios Gestionados TIC Integrales — Fiscalía General de la Nación | 36 meses | 876 sedes | 5 dominios técnicos</t>
  </si>
  <si>
    <t>ANEXO 4. FORMATO DE OFERTA ECONÓMICA - CUADRO DE COSTOS CONSOLIDADO</t>
  </si>
  <si>
    <t>Ítem</t>
  </si>
  <si>
    <t>Componente</t>
  </si>
  <si>
    <t>Hoja de detalle</t>
  </si>
  <si>
    <t>Valor (COP)</t>
  </si>
  <si>
    <t>% Costo Directo</t>
  </si>
  <si>
    <t>D1</t>
  </si>
  <si>
    <t>DOMINIO 1 — Conectividad WAN-LAN SD-WAN</t>
  </si>
  <si>
    <t>'D1. Conectividad'</t>
  </si>
  <si>
    <t>D2</t>
  </si>
  <si>
    <t>DOMINIO 2 — Seguridad Digital y Ciberseguridad</t>
  </si>
  <si>
    <t>'D2. Seguridad'</t>
  </si>
  <si>
    <t>D3</t>
  </si>
  <si>
    <t>DOMINIO 3 — Videoconferencia (UCaaS + Hardware)</t>
  </si>
  <si>
    <t>'D3. Videoconferencia'</t>
  </si>
  <si>
    <t>D4</t>
  </si>
  <si>
    <t>DOMINIO 4 — Cableado Estructurado (bolsa de puntos)</t>
  </si>
  <si>
    <t>'D4. Cableado'</t>
  </si>
  <si>
    <t>P6</t>
  </si>
  <si>
    <t>ANEXO 6 — Perfiles Profesionales (36 meses)</t>
  </si>
  <si>
    <t>'P6. Perfiles'</t>
  </si>
  <si>
    <t>GG</t>
  </si>
  <si>
    <t>Gastos Generales, Transición y Administración</t>
  </si>
  <si>
    <t>'GG. Gastos Generales'</t>
  </si>
  <si>
    <t>TOTAL</t>
  </si>
  <si>
    <t>100.0%</t>
  </si>
  <si>
    <t>VALOR TOTAL ESTIMADO DEL CONTRATO ARCANUS 2026 (36 MESES, IVA INCLUIDO Y TODOS LOS COSTOS DIRECTOS E INDIRECTOS A QUE HAYA LUGAR)</t>
  </si>
  <si>
    <t>Valor mensual promedio (sobre 36 meses, IVA incluido)</t>
  </si>
  <si>
    <t>Costo promedio por sede (876 sedes, 36 meses)</t>
  </si>
  <si>
    <t>OBSERVACIONES PARA EL ESTUDIO DEL SECTOR</t>
  </si>
  <si>
    <t>• Esta proyección de costos constituye una estimación referencial para el ESTUDIO DEL SECTOR conforme al Decreto 1600 de 2024. Los valores unitarios deben validarse con MÍNIMO DOS (2) cotizaciones formales y consultas en SECOP II.</t>
  </si>
  <si>
    <t>• La modalidad de selección es LICITACIÓN PÚBLICA con adjudicación a un único proponente (o proponente plural), conforme lo justifica la integralidad del proyecto y la responsabilidad extremo a extremo sobre los ANS.</t>
  </si>
  <si>
    <t>• La forma de pago combina TRES esquemas: (a) tarifa mensual por servicios recurrentes (conectividad, seguridad, UCaaS), (b) pago contra entrega de hardware (soluciones VC, kits LEO), (c) bolsa de monto agotable (cableado por punto ejecutado).</t>
  </si>
  <si>
    <t>• Los ANS extremadamente exigentes (99.99% disponibilidad, RTO 8 minutos) y la responsabilidad extremo a extremo justifican el factor multiplicador y los porcentajes de administración/utilidad aplicados.</t>
  </si>
  <si>
    <t>• El esquema de coexistencia operacional con el proveedor saliente (10 meses) genera sobrecostos específicos contemplados en la sección de Transición.</t>
  </si>
  <si>
    <t>• La liquidación de pagos estará sujeta a ajustes económicos y créditos de servicio por incumplimiento de ANS, conforme al Anexo 5 — Acuerdos de Niveles de Servicio.</t>
  </si>
  <si>
    <t>• El presente cuadro NO incluye la interventoría del contrato (proceso independiente bajo Concurso de Méritos — ver cuadro de costos separado).</t>
  </si>
  <si>
    <t>LICITACIÓN ARCANUS 2026 (FISCATEL) — PARÁMETROS Y SUPUESTOS</t>
  </si>
  <si>
    <t>Variable</t>
  </si>
  <si>
    <t>Valor</t>
  </si>
  <si>
    <t>Unidad</t>
  </si>
  <si>
    <t>Fuente / Justificación</t>
  </si>
  <si>
    <t>Plazo total del contrato</t>
  </si>
  <si>
    <t>meses</t>
  </si>
  <si>
    <t>Anexo Técnico de Interventoría / Fase IV M13-M36</t>
  </si>
  <si>
    <t>Total de sedes a atender</t>
  </si>
  <si>
    <t>sedes</t>
  </si>
  <si>
    <t>Anexo 1.1 Sedes (876 filas). NOTA: Anexo 2 S1.1.2 cita 877 y Anexo 7 cita 881 nodos - pendiente armonizar</t>
  </si>
  <si>
    <t>Sedes Cat 1 - Datacenters/Núcleo SD-WAN</t>
  </si>
  <si>
    <t>nodos</t>
  </si>
  <si>
    <t>Bogotá Salitre + Cali Bunker (activo-activo)</t>
  </si>
  <si>
    <t>Sedes Cat 2 - Principales (capitales)</t>
  </si>
  <si>
    <t>AT1 Conectividad (matriz post-consolidación)</t>
  </si>
  <si>
    <t>Sedes Cat 3 - Intermedias (ciudades medianas)</t>
  </si>
  <si>
    <t>AT1 Conectividad</t>
  </si>
  <si>
    <t>Sedes Cat 4 - Remotas (LEO satelital)</t>
  </si>
  <si>
    <t>AT1 Conectividad - zonas sin fibra</t>
  </si>
  <si>
    <t>Sedes Cat 5 - Nubes públicas (canales)</t>
  </si>
  <si>
    <t>canales</t>
  </si>
  <si>
    <t>Azure ExpressRoute + OCI FastConnect (2 c/u)</t>
  </si>
  <si>
    <t>Sedes Cat 6 - Canales complementarios</t>
  </si>
  <si>
    <t>AT1 Conectividad Cat 6 - cantidad NO cuantificada en anexos (estimacion por confirmar)</t>
  </si>
  <si>
    <t>Usuarios SASE/SSE</t>
  </si>
  <si>
    <t>usuarios</t>
  </si>
  <si>
    <t>AT2 Seguridad - licenciamiento perimetral</t>
  </si>
  <si>
    <t>Endpoints con XDR/EDR</t>
  </si>
  <si>
    <t>endpoints</t>
  </si>
  <si>
    <t>AT2 Seguridad - estaciones de trabajo</t>
  </si>
  <si>
    <t>Servidores Antimalware</t>
  </si>
  <si>
    <t>servidores</t>
  </si>
  <si>
    <t>AT2 Seguridad S10: 500 servidores aprox. (250 Linux / 250 Windows) [ajustado de 600]</t>
  </si>
  <si>
    <t>Activos monitoreados SOC</t>
  </si>
  <si>
    <t>activos</t>
  </si>
  <si>
    <t>AT2 Seguridad - monitoreo 24x7</t>
  </si>
  <si>
    <t>IPs escaneo de vulnerabilidades</t>
  </si>
  <si>
    <t>IPs</t>
  </si>
  <si>
    <t>AT2 Seguridad S14.2.1: minimo 2.000 IPs/activos [ajustado de 1.000]</t>
  </si>
  <si>
    <t>Dispositivos WAF Radware</t>
  </si>
  <si>
    <t>dispositivos</t>
  </si>
  <si>
    <t>AT2 Seguridad - gestión y administración</t>
  </si>
  <si>
    <t>Soluciones VC Tipo 1 - DJT</t>
  </si>
  <si>
    <t>soluciones</t>
  </si>
  <si>
    <t>AT3 Videoconferencia - cantidades del archivo Asignacion SVC.xlsx (no incluido en el paquete - verificar)</t>
  </si>
  <si>
    <t>Soluciones VC Tipo 2 - Auditorios</t>
  </si>
  <si>
    <t>AT3 Videoconferencia</t>
  </si>
  <si>
    <t>Soluciones VC Tipo 3 - Móviles</t>
  </si>
  <si>
    <t>AT3 Videoconferencia - kit con tótem LED</t>
  </si>
  <si>
    <t>Soluciones VC Tipo 4 - Direcciones/Subdirecciones</t>
  </si>
  <si>
    <t>Kits de Soporte VC (Tipo 1, 3 y 4)</t>
  </si>
  <si>
    <t>kits</t>
  </si>
  <si>
    <t>Soluciones móviles LEO descongestión</t>
  </si>
  <si>
    <t>AT1 Conectividad - brigadas de justicia</t>
  </si>
  <si>
    <t>Bolsa puntos cableado Cat 6A blindado</t>
  </si>
  <si>
    <t>puntos</t>
  </si>
  <si>
    <t>AT4 Cableado Estructurado</t>
  </si>
  <si>
    <t>Bolsa reubicación de puntos</t>
  </si>
  <si>
    <t>Pentesting (campañas 36 meses)</t>
  </si>
  <si>
    <t>ejecuciones</t>
  </si>
  <si>
    <t>AT2 Seguridad - mín. 2 por año</t>
  </si>
  <si>
    <t>Meses de transición / coexistencia</t>
  </si>
  <si>
    <t>AT7 Protocolo de Transición</t>
  </si>
  <si>
    <t>Factor multiplicador integral (servicio gestionado)</t>
  </si>
  <si>
    <t>factor</t>
  </si>
  <si>
    <t>Cubre prestaciones + admin + utilidad consultor</t>
  </si>
  <si>
    <t>Porcentaje de imprevistos</t>
  </si>
  <si>
    <t>%</t>
  </si>
  <si>
    <t>Estándar contratación pública servicios gestionados</t>
  </si>
  <si>
    <t>Porcentaje de administración del contratista</t>
  </si>
  <si>
    <t>Sobre costos directos</t>
  </si>
  <si>
    <t>Porcentaje de utilidad del contratista</t>
  </si>
  <si>
    <t>Tasa de IVA aplicable</t>
  </si>
  <si>
    <t>Estatuto Tributario Nacional</t>
  </si>
  <si>
    <t>Conexiones NAC (de las cuales min. 25.000 con postura)</t>
  </si>
  <si>
    <t>conexiones</t>
  </si>
  <si>
    <t>AT2 Seguridad S9.4 [REFERENCIA: la hoja D2 item 7 usa 30.000 usuarios - ajuste pendiente de aprobacion]</t>
  </si>
  <si>
    <t>Usuarios DLP</t>
  </si>
  <si>
    <t>AT2 Seguridad S8.2.2 [REFERENCIA: la hoja D2 item 8 usa 26.000 endpoints - ajuste pendiente de aprobacion]</t>
  </si>
  <si>
    <t>Estudios formales de trafico (36 meses)</t>
  </si>
  <si>
    <t>estudios</t>
  </si>
  <si>
    <t>AT1 C13.3: 1 linea base + 3 anuales [REFERENCIA: la hoja D1 item 6 usa 12 - ajuste pendiente de aprobacion]</t>
  </si>
  <si>
    <t>NOTAS METODOLÓGICAS</t>
  </si>
  <si>
    <t>1. Los valores unitarios son referenciales de mercado para servicios gestionados TIC en Colombia 2026 — deben validarse con MÍNIMO DOS (2) cotizaciones formales según Decreto 1600 de 2024.</t>
  </si>
  <si>
    <t>2. El factor multiplicador (1.85) aplica solo a perfiles profesionales y cubre prestaciones, parafiscales, dotación, capacitación, certificaciones, administración y utilidad del consultor.</t>
  </si>
  <si>
    <t>3. Servicios recurrentes (conectividad, seguridad, plataforma UCaaS) se modelan como tarifa mensual × meses. Hardware (soluciones VC, kits LEO) se factura contra entrega.</t>
  </si>
  <si>
    <t>4. Cableado se factura bajo modalidad BOLSA DE MONTO AGOTABLE: se paga por punto efectivamente instalado/reubicado.</t>
  </si>
  <si>
    <t>5. Los costos de Cat 1 (datacenter) incluyen 2 canales Internet 5Gbps + 2 canales datos 5Gbps + 2 canales por nube pública.</t>
  </si>
  <si>
    <t>6. Las cantidades estimadas para servicios por demanda (SASE, EDR, puntos) son MÁXIMOS referenciales, no obligaciones mínimas de consumo para la Entidad.</t>
  </si>
  <si>
    <t>7. AJUSTES 31-07-2026 (solo hoja Parametros, validacion vs anexos): servidores 600-&gt;500 (S10); IPs escaneo 1.000-&gt;2.000 (S14.2.1). Se agregan como referencia NAC 35.000 conexiones (S9.4), DLP 30.000 usuarios (S8.2.2) y estudios de trafico 4 (C13.3), sin modificar las hojas D1/D2.</t>
  </si>
  <si>
    <t>CONVENCIONES DE COLOR</t>
  </si>
  <si>
    <t>Texto azul</t>
  </si>
  <si>
    <t>Entrada modificable (hardcoded input)</t>
  </si>
  <si>
    <t>Texto negro</t>
  </si>
  <si>
    <t>Fórmula calculada</t>
  </si>
  <si>
    <t>Texto verde</t>
  </si>
  <si>
    <t>Vínculo entre hojas</t>
  </si>
  <si>
    <t>Fondo verde claro</t>
  </si>
  <si>
    <t>Total / Subtotal</t>
  </si>
  <si>
    <t>Fondo azul navy</t>
  </si>
  <si>
    <t>Gran total / valor final del contrato</t>
  </si>
  <si>
    <t>DOMINIO 1 — SERVICIO DE CONECTIVIDAD WAN-LAN (SD-WAN NACIONAL)</t>
  </si>
  <si>
    <t>Anexo Técnico 1 — Arquitectura SD-WAN activo-activo Bogotá-Cali / Cobertura 876 sedes / IPv6 dual-stack</t>
  </si>
  <si>
    <t>Servicio / Componente</t>
  </si>
  <si>
    <t>Cantidad</t>
  </si>
  <si>
    <t>Tarifa unitaria mensual
(COP)</t>
  </si>
  <si>
    <t>Meses</t>
  </si>
  <si>
    <t>Costo total 36 meses
(COP)</t>
  </si>
  <si>
    <t>Observaciones</t>
  </si>
  <si>
    <t>A. SERVICIO SD-WAN RECURRENTE POR CATEGORÍA DE SEDE</t>
  </si>
  <si>
    <t>Servicio Cat 1 — Datacenter / Núcleo SD-WAN (2x5Gbps Internet + 2x5Gbps Datos + 2x canal por nube)</t>
  </si>
  <si>
    <t>Nodo-mes</t>
  </si>
  <si>
    <t>Servicio Cat 2 — Sedes principales (fibra dedicada con redundancia 1:1, doble carrier)</t>
  </si>
  <si>
    <t>Sede-mes</t>
  </si>
  <si>
    <t>765 sedes en capitales (post-consolidación)</t>
  </si>
  <si>
    <t>Servicio Cat 3 — Redes metropolitanas / Ciudades intermedias (MPLS + Internet activo-activo)</t>
  </si>
  <si>
    <t>Sedes seccionales en ciudades medianas</t>
  </si>
  <si>
    <t>Servicio Cat 4 — Satelital LEO empresarial (zonas sin fibra)</t>
  </si>
  <si>
    <t>Tipo Starlink Business / SES-O3b</t>
  </si>
  <si>
    <t>Servicio Cat 5 — Interconexión cloud (ExpressRoute + FastConnect + VPN B2B)</t>
  </si>
  <si>
    <t>Canal-mes</t>
  </si>
  <si>
    <t>Azure + OCI (2 canales por nube)</t>
  </si>
  <si>
    <t>Servicio Cat 6 — Canales complementarios (Internet respaldo, móvil, WiFi)</t>
  </si>
  <si>
    <t>Bolsa de servicios complementarios</t>
  </si>
  <si>
    <t>Subtotal A — Servicio SD-WAN recurrente</t>
  </si>
  <si>
    <t>B. SERVICIOS Y COMPONENTES ADICIONALES DE CONECTIVIDAD</t>
  </si>
  <si>
    <t>Solución móvil LEO para jornadas de descongestión / brigadas de justicia</t>
  </si>
  <si>
    <t>Kit</t>
  </si>
  <si>
    <t>Pago contra entrega - hardware + activación</t>
  </si>
  <si>
    <t>Servicio mensual conectividad LEO móvil (post-instalación)</t>
  </si>
  <si>
    <t>Kit-mes</t>
  </si>
  <si>
    <t>Tarifa de servicio una vez activado</t>
  </si>
  <si>
    <t>Adquisición y renovación Pool IPv6 /44 + ASN propio FGN</t>
  </si>
  <si>
    <t>Global</t>
  </si>
  <si>
    <t>Una sola vez - registro LACNIC</t>
  </si>
  <si>
    <t>Plataforma de monitoreo Anexo 1 C11 (licenciamiento incluido en CPE)</t>
  </si>
  <si>
    <t>Servicio-mes</t>
  </si>
  <si>
    <t>Observabilidad de red</t>
  </si>
  <si>
    <t>Servicio de ampliación de ancho de banda por demanda (bolsa anual)</t>
  </si>
  <si>
    <t>Bolsa-año</t>
  </si>
  <si>
    <t>Crecimientos según demanda FGN</t>
  </si>
  <si>
    <t>Estudios formales de tráfico / capacidad (trimestrales)</t>
  </si>
  <si>
    <t>Estudio</t>
  </si>
  <si>
    <t>Caracterización 6/12/24 meses por categoría</t>
  </si>
  <si>
    <t>Subtotal B — Servicios y componentes adicionales</t>
  </si>
  <si>
    <t>TOTAL DOMINIO 1 — CONECTIVIDAD WAN-LAN</t>
  </si>
  <si>
    <t>DOMINIO 2 — SEGURIDAD DIGITAL Y CIBERSEGURIDAD (SASE/SSE + SOC 24x7)</t>
  </si>
  <si>
    <t>Anexo Técnico 2 — Arquitectura SASE/SSE / SOC 24x7 / SIEM-SOAR / EDR-XDR / NAC / PAM / DLP</t>
  </si>
  <si>
    <t>A. PLATAFORMA SASE/SSE Y PROTECCIÓN PERIMETRAL</t>
  </si>
  <si>
    <t>Licenciamiento SASE/SSE por usuario (SWG + CASB + ZTNA + DLP)</t>
  </si>
  <si>
    <t>Usuario-mes</t>
  </si>
  <si>
    <t>30.000 usuarios</t>
  </si>
  <si>
    <t>Antimalware + XDR para endpoints (estaciones de trabajo)</t>
  </si>
  <si>
    <t>Endpoint-mes</t>
  </si>
  <si>
    <t>26.000 endpoints</t>
  </si>
  <si>
    <t>Antimalware para servidores (Windows / Linux)</t>
  </si>
  <si>
    <t>Servidor-mes</t>
  </si>
  <si>
    <t>600 servidores</t>
  </si>
  <si>
    <t>Protección DDoS y NGFW perimetral (gestionado)</t>
  </si>
  <si>
    <t>Plataforma-mes</t>
  </si>
  <si>
    <t>Inspección perímetro a 10 Gbps</t>
  </si>
  <si>
    <t>Gestión y administración de WAF Radware existentes</t>
  </si>
  <si>
    <t>Dispositivo-mes</t>
  </si>
  <si>
    <t>4 dispositivos WAF FGN</t>
  </si>
  <si>
    <t>WAF como servicio adicional para apps cloud</t>
  </si>
  <si>
    <t>App-mes</t>
  </si>
  <si>
    <t>Bolsa para apps SaaS críticas</t>
  </si>
  <si>
    <t>Subtotal A — SASE/SSE y Protección Perimetral</t>
  </si>
  <si>
    <t>B. SOC 24x7 — SIEM / SOAR / NDR / PAM / NAC / DLP</t>
  </si>
  <si>
    <t>SOC 24x7 — Operación gestionada (turnos N1/N2/N3, runbooks, threat hunting)</t>
  </si>
  <si>
    <t>Centro de Operaciones de Seguridad</t>
  </si>
  <si>
    <t>SIEM — Licenciamiento por EPS (eventos por segundo) e ingesta de logs</t>
  </si>
  <si>
    <t>Ingestión multifuente / retención 36 meses</t>
  </si>
  <si>
    <t>SOAR — Plataforma de orquestación y respuesta automatizada</t>
  </si>
  <si>
    <t>Playbooks integrados con ITSM</t>
  </si>
  <si>
    <t>NDR — Network Detection &amp; Response (sensores en sedes Cat 1)</t>
  </si>
  <si>
    <t>Detección lateral en datacenter</t>
  </si>
  <si>
    <t>Monitoreo de activos críticos (1.500 activos monitoreados)</t>
  </si>
  <si>
    <t>Activo-mes</t>
  </si>
  <si>
    <t>Servidores, bases de datos, apps misionales</t>
  </si>
  <si>
    <t>PAM — Privileged Access Management (gestión de accesos privilegiados)</t>
  </si>
  <si>
    <t>Gestión de cuentas privilegiadas</t>
  </si>
  <si>
    <t>NAC — Network Access Control (control de acceso a la red)</t>
  </si>
  <si>
    <t>Integrado con AD/IdP</t>
  </si>
  <si>
    <t>DLP — Data Loss Prevention (endpoint + M365 + SSE + Discovery)</t>
  </si>
  <si>
    <t>Catálogo inicial 25 políticas</t>
  </si>
  <si>
    <t>Vigilancia digital Clear/Deep/Dark Web (CTI - Threat Intelligence)</t>
  </si>
  <si>
    <t>Monitoreo de marca FGN</t>
  </si>
  <si>
    <t>Escaneo recurrente de vulnerabilidades internas</t>
  </si>
  <si>
    <t>IP-mes</t>
  </si>
  <si>
    <t>1.000 IPs escaneadas</t>
  </si>
  <si>
    <t>Escaneo de vulnerabilidades perímetro/externo</t>
  </si>
  <si>
    <t>Activos expuestos a Internet</t>
  </si>
  <si>
    <t xml:space="preserve">Servicio de Correo Seguro (Protección de Correo Electrónico Basada en Nube) </t>
  </si>
  <si>
    <t>Correo analizado y seguro</t>
  </si>
  <si>
    <t>Pruebas de Penetración (Pentesting) — campañas semestrales</t>
  </si>
  <si>
    <t>Ejecución</t>
  </si>
  <si>
    <t>6 campañas / 36 meses (NIST 800-115)</t>
  </si>
  <si>
    <t>Subtotal B — SOC 24x7 y Servicios Gestionados de Ciberseguridad</t>
  </si>
  <si>
    <t>TOTAL DOMINIO 2 — SEGURIDAD DIGITAL Y CIBERSEGURIDAD</t>
  </si>
  <si>
    <t>DOMINIO 3 — SERVICIO DE VIDEOCONFERENCIA (UCAAS + HARDWARE DE SALAS)</t>
  </si>
  <si>
    <t>Anexo Técnico 3 — Plataforma UCaaS SaaS/Híbrida / 86 salas / Webinars 2.000+ asistentes / Cert. NDAA</t>
  </si>
  <si>
    <t>A. PLATAFORMA UCAAS — LICENCIAMIENTO Y SERVICIO RECURRENTE</t>
  </si>
  <si>
    <t>Plataforma UCaaS (SaaS/Híbrida) — licenciamiento usuario reuniones estándar</t>
  </si>
  <si>
    <t>30.000 usuarios FGN</t>
  </si>
  <si>
    <t>Licenciamiento Webinar (2.000+ participantes concurrentes)</t>
  </si>
  <si>
    <t>Audiencias virtuales / streaming integrado</t>
  </si>
  <si>
    <t>Repositorio de grabaciones con retención permanente y portal</t>
  </si>
  <si>
    <t>Mediateca + transcripción + DLP integrado</t>
  </si>
  <si>
    <t>Soporte técnico en sitio para eventos críticos / 250 servicios/mes</t>
  </si>
  <si>
    <t>Operadores VC (perfil P5 - ver hoja Perfiles)</t>
  </si>
  <si>
    <t>Integración con Microsoft Teams + AD/IdP institucional</t>
  </si>
  <si>
    <t>Interoperabilidad UCaaS-Teams</t>
  </si>
  <si>
    <t>Subtotal A — Plataforma UCaaS</t>
  </si>
  <si>
    <t>B. HARDWARE DE SALAS DE VIDEOCONFERENCIA (PAGO CONTRA ENTREGA)</t>
  </si>
  <si>
    <t>Solución Tipo 1 — DJT: Pantalla interactiva 55" + 2 cámaras PTZ + 2 micrófonos + tablet + asistente</t>
  </si>
  <si>
    <t>Solución</t>
  </si>
  <si>
    <t>Justicia Transicional - 31 salas</t>
  </si>
  <si>
    <t>Solución Tipo 2 — Auditorios: Códec VC + 2 cámaras PTZ + tablet + asistente</t>
  </si>
  <si>
    <t>Auditorios principales - 7 salas</t>
  </si>
  <si>
    <t>Solución Tipo 3 — Móviles: Códec + 2 PTZ + 4 micrófonos + tablet + asistente + tótem LED 55"</t>
  </si>
  <si>
    <t>Kit móvil con tótem - 3 unidades</t>
  </si>
  <si>
    <t>Solución Tipo 4 — Direcciones: Pantalla interactiva 55" con carro móvil + cámara PTZ + micrófono + tablet</t>
  </si>
  <si>
    <t>Direcciones y Subdirecciones - 45 salas</t>
  </si>
  <si>
    <t>Kit de Soporte (Tipo 1, 3 y 4) — Repuestos y elementos de respaldo</t>
  </si>
  <si>
    <t>7 kits de soporte / repuestos</t>
  </si>
  <si>
    <t>Instalación, configuración y puesta en marcha de salas</t>
  </si>
  <si>
    <t>Sala</t>
  </si>
  <si>
    <t>Por cada sala instalada (servicio profesional)</t>
  </si>
  <si>
    <t>Subtotal B — Hardware de Salas (pago contra entrega)</t>
  </si>
  <si>
    <t>TOTAL DOMINIO 3 — VIDEOCONFERENCIA</t>
  </si>
  <si>
    <t>DOMINIO 4 — CABLEADO ESTRUCTURADO (BOLSA DE PUNTOS CATEGORÍA 6A BLINDADO)</t>
  </si>
  <si>
    <t>Anexo Técnico 4 — Modalidad bolsa de monto agotable / Pago por punto efectivamente ejecutado</t>
  </si>
  <si>
    <t>A. BOLSA DE PUNTOS DE CABLEADO (PAGO CONTRA EJECUCIÓN)</t>
  </si>
  <si>
    <t>Punto completo de datos Cat 6A blindado (incluye salida datos + toma regulada + toma normal)</t>
  </si>
  <si>
    <t>Punto</t>
  </si>
  <si>
    <t>Bolsa - 6.000 puntos máximos</t>
  </si>
  <si>
    <t>Reubicación de punto lógico + eléctrico (cumple condiciones técnicas sin empalmes)</t>
  </si>
  <si>
    <t>Bolsa - 1.000 puntos máximos</t>
  </si>
  <si>
    <t>Punto eléctrico regulado (cuando se requiere solo toma)</t>
  </si>
  <si>
    <t>Bolsa según necesidad - sin contar</t>
  </si>
  <si>
    <t>Punto eléctrico normal</t>
  </si>
  <si>
    <t>Backbone fibra óptica multimodo OM4 12 hilos por enlace</t>
  </si>
  <si>
    <t>Enlace</t>
  </si>
  <si>
    <t>Interconexión entre racks (cuando aplica)</t>
  </si>
  <si>
    <t>Suministro e instalación de gabinete/rack de comunicaciones</t>
  </si>
  <si>
    <t>Bolsa de gabinetes - según diseño</t>
  </si>
  <si>
    <t>Sistema de puesta a tierra (TGB/TMGB + medición + caja protección)</t>
  </si>
  <si>
    <t>Sede</t>
  </si>
  <si>
    <t>Sedes que no cuenten con PAT</t>
  </si>
  <si>
    <t>Visita Site Survey por sede (dimensionamiento previo)</t>
  </si>
  <si>
    <t>Previa a intervención</t>
  </si>
  <si>
    <t>Subtotal A — Bolsa de Puntos y Componentes</t>
  </si>
  <si>
    <t>B. MANTENIMIENTO Y ATENCIÓN POR DEMANDA</t>
  </si>
  <si>
    <t>Atención de incidentes y requerimientos en cableado (bolsa mensual)</t>
  </si>
  <si>
    <t>Soporte correctivo - 36 meses</t>
  </si>
  <si>
    <t>Certificación y pruebas de desempeño post-instalación (por sede)</t>
  </si>
  <si>
    <t>Certificación</t>
  </si>
  <si>
    <t>Una por cada sede intervenida</t>
  </si>
  <si>
    <t>Subtotal B — Mantenimiento y atención por demanda</t>
  </si>
  <si>
    <t>TOTAL DOMINIO 4 — CABLEADO ESTRUCTURADO</t>
  </si>
  <si>
    <t>ANEXO 6 — PERFILES PROFESIONALES DEL PROVEEDOR (36 MESES)</t>
  </si>
  <si>
    <t>Personal mínimo del contratista para la operación de los 5 dominios — Roles P1 a P7</t>
  </si>
  <si>
    <t>Perfil profesional</t>
  </si>
  <si>
    <t>Categoría
(P1-P7)</t>
  </si>
  <si>
    <t>Cant.</t>
  </si>
  <si>
    <t>Dedic.
(%)</t>
  </si>
  <si>
    <t>Salario base
mensual (COP)</t>
  </si>
  <si>
    <t>Factor
multip.</t>
  </si>
  <si>
    <t>Costo mensual
total (COP)</t>
  </si>
  <si>
    <t>Total perfil 36 meses
(COP)</t>
  </si>
  <si>
    <t>P1 — ROLES ESTRATÉGICOS TRANSVERSALES</t>
  </si>
  <si>
    <t>Gerente de Proyecto Presencial (PMP) — Único punto de contacto</t>
  </si>
  <si>
    <t>P1</t>
  </si>
  <si>
    <t>Director Técnico (TOGAF + ITIL Strategic Leader)</t>
  </si>
  <si>
    <t>Jefe de Servicios (ITIL v4 + PMI)</t>
  </si>
  <si>
    <t>Gestor de Transición (PMP + ITIL Specialist) — Solo M1-M10</t>
  </si>
  <si>
    <t>P2 — PERFILES TÉCNICOS DE CONECTIVIDAD</t>
  </si>
  <si>
    <t>Ingeniero Residente Bogotá (turno 1) — 5x12</t>
  </si>
  <si>
    <t>P2</t>
  </si>
  <si>
    <t>Ingeniero Residente Bogotá (turno 2) — 5x12</t>
  </si>
  <si>
    <t>Ingeniero Residente Cali — 5x8</t>
  </si>
  <si>
    <t>Especialista en Conectividad WAN/SD-WAN (CCNP/JNCIP)</t>
  </si>
  <si>
    <t>Especialista SD-WAN avanzado (orquestador, ADVPN, QoS)</t>
  </si>
  <si>
    <t>Ingeniero NOC 7x24 (turnos rotativos)</t>
  </si>
  <si>
    <t>P3 — PERFILES TÉCNICOS DE SEGURIDAD (SOC + SASE + DLP + NAC + PAM)</t>
  </si>
  <si>
    <t>Gerente de Seguridad (CISSP + ISO 27001 Lead Auditor)</t>
  </si>
  <si>
    <t>P3</t>
  </si>
  <si>
    <t>Coordinador SOC (GIAC GSOC)</t>
  </si>
  <si>
    <t>Analista SOC N1 — Turnos 7x24</t>
  </si>
  <si>
    <t>Analista SOC N2 — Threat hunting / casos complejos</t>
  </si>
  <si>
    <t>Analista SOC N3 — Incident response / forensia</t>
  </si>
  <si>
    <t>Especialista SASE/SSE (administración plataforma)</t>
  </si>
  <si>
    <t>Operadores de seguridad (NGFW,WAF,DDoS,Antimalware)</t>
  </si>
  <si>
    <t>Especialista DevSecOps (SOAR, CI/CD)</t>
  </si>
  <si>
    <t>Especialista EDR/XDR (endpoint security)</t>
  </si>
  <si>
    <t>Especialista DLP (M365 + endpoint + SSE)</t>
  </si>
  <si>
    <t>Especialista NAC (control de acceso a red)</t>
  </si>
  <si>
    <t>Especialista PAM (Privileged Access Management)</t>
  </si>
  <si>
    <t>Pentester / Ethical Hacker (OSCP)</t>
  </si>
  <si>
    <t>P4 — PERFILES DE SERVICIOS, MESA DE AYUDA Y OBSERVABILIDAD</t>
  </si>
  <si>
    <t>Coordinador de Agentes (Mesa de Ayuda)</t>
  </si>
  <si>
    <t>P4</t>
  </si>
  <si>
    <t>Agentes Mesa de Ayuda N1 (atención remota)</t>
  </si>
  <si>
    <t>Agentes Mesa de Ayuda N2 (escalamiento)</t>
  </si>
  <si>
    <t>Técnicos de soporte en sitio (presencial sedes Bogotá)</t>
  </si>
  <si>
    <t>Especialista de Observabilidad (Splunk/Elastic/Dynatrace)</t>
  </si>
  <si>
    <t>P5 — PERFILES TÉCNICOS DE VIDEOCONFERENCIA</t>
  </si>
  <si>
    <t>Agentes de Videoconferencia (3 agentes)</t>
  </si>
  <si>
    <t>P5</t>
  </si>
  <si>
    <t>Operador de Sala VC (CTS AVIXA) — Eventos críticos DJT</t>
  </si>
  <si>
    <t>Ingeniero de Plataforma UCaaS (Cisco/Teams/Zoom/Pexip)</t>
  </si>
  <si>
    <t>P6 — PERFILES TÉCNICOS DE CABLEADO ESTRUCTURADO</t>
  </si>
  <si>
    <t>Coordinador de Implementación Regional (PMP)</t>
  </si>
  <si>
    <t>Ingeniero Líder RCDD/ATD (auditoría sedes &gt;100 puntos)</t>
  </si>
  <si>
    <t>Líder de Cableado certificado (cuadrillas)</t>
  </si>
  <si>
    <t>Técnico de Cableado (instalación)</t>
  </si>
  <si>
    <t>Eléctrico CONTE (RETIE + alturas)</t>
  </si>
  <si>
    <t>P7 — PERFILES DE INFRAESTRUCTURA Y DATACENTER</t>
  </si>
  <si>
    <t>Especialista Linux (RHCSA/RHCE)</t>
  </si>
  <si>
    <t>P7</t>
  </si>
  <si>
    <t>Especialista Plataforma Microsoft (Azure/AD/Windows Server)</t>
  </si>
  <si>
    <t>Especialista de Almacenamiento (Hitachi/Dell SAN/NAS)</t>
  </si>
  <si>
    <t>Especialista DBA (Oracle/SQL Server/PostgreSQL)</t>
  </si>
  <si>
    <t>Operadores de Centro de Datos (7x24, turnos)</t>
  </si>
  <si>
    <t>TOTAL ANEXO 6 — PERFILES PROFESIONALES (36 MESES)</t>
  </si>
  <si>
    <t>GASTOS GENERALES, TRANSICIÓN Y ADMINISTRACIÓN DEL CONTRATO</t>
  </si>
  <si>
    <t>Concepto</t>
  </si>
  <si>
    <t>Valor unitario
(COP)</t>
  </si>
  <si>
    <t>Costo total
(COP)</t>
  </si>
  <si>
    <t>A. PROTOCOLO DE TRANSICIÓN (M1-M10)</t>
  </si>
  <si>
    <t>Plan Detallado de Transición (PDT) y documentación de plataforma actual</t>
  </si>
  <si>
    <t>Entregable</t>
  </si>
  <si>
    <t>Knowledge Transfer del proveedor saliente</t>
  </si>
  <si>
    <t>Servicio</t>
  </si>
  <si>
    <t>Ambiente de laboratorio / staging para pruebas paralelas</t>
  </si>
  <si>
    <t>Plataforma</t>
  </si>
  <si>
    <t>Inventario CMDB inicial validado</t>
  </si>
  <si>
    <t>Plan de comunicación y gestión del cambio</t>
  </si>
  <si>
    <t>Plan</t>
  </si>
  <si>
    <t>Doble facturación controlada — operación simultánea (M1-M10)</t>
  </si>
  <si>
    <t>Mes</t>
  </si>
  <si>
    <t>Costos de migración por sede (876 sedes × tarifa unitaria)</t>
  </si>
  <si>
    <t>Subtotal A — Protocolo de Transición</t>
  </si>
  <si>
    <t>B. PLATAFORMA ITSM, OBSERVABILIDAD Y CMDB INSTITUCIONAL</t>
  </si>
  <si>
    <t>Integración con herramienta ITSM institucional (system of record)</t>
  </si>
  <si>
    <t>Integración con plataforma Observabilidad FGN (CMDB + monitoreo)</t>
  </si>
  <si>
    <t>Reportería ejecutiva y dashboards de ANS</t>
  </si>
  <si>
    <t>Gestión de cambios, problemas y CAB</t>
  </si>
  <si>
    <t>Subtotal B — ITSM, Observabilidad y CMDB</t>
  </si>
  <si>
    <t>C. PÓLIZAS, GARANTÍAS Y GASTOS LOGÍSTICOS</t>
  </si>
  <si>
    <t>Póliza de cumplimiento (10% del valor del contrato)</t>
  </si>
  <si>
    <t>Vigencia</t>
  </si>
  <si>
    <t>Póliza de calidad del servicio</t>
  </si>
  <si>
    <t>Póliza de responsabilidad civil extracontractual</t>
  </si>
  <si>
    <t>Póliza de salarios y prestaciones sociales</t>
  </si>
  <si>
    <t>Logística nacional (despliegue y traslados a 876 sedes)</t>
  </si>
  <si>
    <t>Bodegaje, fletes, seguros de hardware</t>
  </si>
  <si>
    <t>Plan de Recuperación ante Desastres y BCP (DR)</t>
  </si>
  <si>
    <t>Auditorías ISO 27001 / ISO 22301 / SOC 2 (anuales)</t>
  </si>
  <si>
    <t>Auditoría</t>
  </si>
  <si>
    <t>Subtotal C — Pólizas, Garantías y Logística</t>
  </si>
  <si>
    <t>TOTAL GASTOS GENERALES, TRANSICIÓN Y ADMINISTRACIÓN</t>
  </si>
  <si>
    <t>WEXLER S.A.S.</t>
  </si>
  <si>
    <t>COLOMBIA TELECOMUNICACIONES S.A. ESP BIC</t>
  </si>
  <si>
    <t>SONDA DE COLOMBIA S.A.</t>
  </si>
  <si>
    <t>COMUNICACION CELULAR S A COMCEL S A</t>
  </si>
  <si>
    <t>GROW DATA S.A.S</t>
  </si>
  <si>
    <t>MEDIA COMMERCE S.A.S.</t>
  </si>
  <si>
    <t>TESERACT S.A.S.</t>
  </si>
  <si>
    <t>YEAPDATA S.A.S.</t>
  </si>
  <si>
    <t>S3 SIMPLE SMART SPEEDY S.A.S.</t>
  </si>
  <si>
    <t>PROMEDIO</t>
  </si>
  <si>
    <t>MEDIA ARITMÉTICA BAJA</t>
  </si>
  <si>
    <t>COIZACIÓN MÁS BAJA</t>
  </si>
  <si>
    <t>COTIZACIÓN MÁS ALTA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</si>
</sst>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\$* #,##0_-;_-\$* \(#,##0\);_-\$* \-_-;_-@_-"/>
    <numFmt numFmtId="165" formatCode="0.0%"/>
    <numFmt numFmtId="166" formatCode="_-\$* #,##0.0_-;_-\$* \(#,##0.0\);_-\$* \-_-;_-@_-"/>
    <numFmt numFmtId="167" formatCode="_-\$* #,##0.00_-;_-\$* \(#,##0.00\);_-\$* \-_-;_-@_-"/>
  </numFmts>
  <fonts count="28" x14ac:knownFonts="1">
    <font>
      <sz val="11"/>
      <color theme="1"/>
      <name val="Calibri"/>
      <family val="2"/>
      <charset val="1"/>
    </font>
    <font>
      <b/>
      <sz val="10"/>
      <name val="Arial"/>
      <family val="2"/>
      <charset val="1"/>
    </font>
    <font>
      <i/>
      <sz val="11"/>
      <color rgb="FF1F3864"/>
      <name val="Arial"/>
      <family val="2"/>
      <charset val="1"/>
    </font>
    <font>
      <b/>
      <sz val="11"/>
      <color rgb="FF1F3864"/>
      <name val="Arial"/>
      <family val="2"/>
      <charset val="1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61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b/>
      <sz val="14"/>
      <color rgb="FFFFFFFF"/>
      <name val="Arial"/>
      <family val="2"/>
    </font>
    <font>
      <b/>
      <i/>
      <sz val="10"/>
      <color rgb="FF1F3864"/>
      <name val="Arial"/>
      <family val="2"/>
    </font>
    <font>
      <b/>
      <sz val="11"/>
      <color rgb="FFFFFFFF"/>
      <name val="Arial"/>
      <family val="2"/>
    </font>
    <font>
      <i/>
      <sz val="9"/>
      <name val="Arial"/>
      <family val="2"/>
      <charset val="1"/>
    </font>
    <font>
      <b/>
      <sz val="14"/>
      <color rgb="FFFFFFFF"/>
      <name val="Arial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1"/>
      <color rgb="FF0000FF"/>
      <name val="Calibri"/>
      <family val="2"/>
    </font>
    <font>
      <i/>
      <sz val="9"/>
      <color rgb="FF595959"/>
      <name val="Arial"/>
      <family val="2"/>
    </font>
    <font>
      <b/>
      <sz val="10"/>
      <color rgb="FF0000FF"/>
      <name val="Arial"/>
      <family val="2"/>
    </font>
    <font>
      <i/>
      <sz val="10"/>
      <color rgb="FF000000"/>
      <name val="Arial"/>
      <family val="2"/>
      <charset val="1"/>
    </font>
    <font>
      <i/>
      <sz val="11"/>
      <color rgb="FF1F3864"/>
      <name val="Arial"/>
      <family val="2"/>
    </font>
    <font>
      <sz val="10"/>
      <color rgb="FF006100"/>
      <name val="Arial"/>
      <family val="2"/>
    </font>
    <font>
      <b/>
      <sz val="10"/>
      <name val="Arial"/>
      <family val="2"/>
    </font>
    <font>
      <b/>
      <sz val="12"/>
      <color rgb="FFFFFFFF"/>
      <name val="Arial"/>
      <family val="2"/>
    </font>
    <font>
      <b/>
      <sz val="13"/>
      <color rgb="FFFFFFFF"/>
      <name val="Arial"/>
      <family val="2"/>
    </font>
    <font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2E5984"/>
        <bgColor rgb="FF595959"/>
      </patternFill>
    </fill>
    <fill>
      <patternFill patternType="solid">
        <fgColor rgb="FFC6EFCE"/>
        <bgColor rgb="FFD9E1F2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FBFB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7" fillId="0" borderId="0" applyFont="0" applyFill="0" applyBorder="0" applyAlignment="0" applyProtection="0"/>
  </cellStyleXfs>
  <cellXfs count="78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center" vertical="center"/>
    </xf>
    <xf numFmtId="0" fontId="0" fillId="0" borderId="1" xfId="0" applyBorder="1"/>
    <xf numFmtId="0" fontId="0" fillId="5" borderId="1" xfId="0" applyFill="1" applyBorder="1"/>
    <xf numFmtId="0" fontId="16" fillId="0" borderId="1" xfId="0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2" fontId="17" fillId="0" borderId="1" xfId="0" applyNumberFormat="1" applyFont="1" applyBorder="1" applyAlignment="1">
      <alignment horizontal="center" vertical="center"/>
    </xf>
    <xf numFmtId="10" fontId="17" fillId="0" borderId="1" xfId="0" applyNumberFormat="1" applyFont="1" applyBorder="1" applyAlignment="1">
      <alignment horizontal="center" vertical="center"/>
    </xf>
    <xf numFmtId="10" fontId="18" fillId="0" borderId="1" xfId="0" applyNumberFormat="1" applyFont="1" applyBorder="1" applyAlignment="1">
      <alignment horizontal="center" vertical="center"/>
    </xf>
    <xf numFmtId="0" fontId="20" fillId="0" borderId="1" xfId="0" applyFont="1" applyBorder="1"/>
    <xf numFmtId="0" fontId="5" fillId="0" borderId="1" xfId="0" applyFont="1" applyBorder="1"/>
    <xf numFmtId="0" fontId="7" fillId="0" borderId="1" xfId="0" applyFont="1" applyBorder="1"/>
    <xf numFmtId="0" fontId="5" fillId="4" borderId="1" xfId="0" applyFont="1" applyFill="1" applyBorder="1"/>
    <xf numFmtId="0" fontId="4" fillId="5" borderId="1" xfId="0" applyFont="1" applyFill="1" applyBorder="1"/>
    <xf numFmtId="3" fontId="16" fillId="0" borderId="1" xfId="0" applyNumberFormat="1" applyFont="1" applyBorder="1" applyAlignment="1">
      <alignment horizontal="center" vertical="center"/>
    </xf>
    <xf numFmtId="3" fontId="23" fillId="0" borderId="1" xfId="0" applyNumberFormat="1" applyFont="1" applyBorder="1" applyAlignment="1">
      <alignment horizontal="center" vertical="center"/>
    </xf>
    <xf numFmtId="164" fontId="17" fillId="6" borderId="1" xfId="0" applyNumberFormat="1" applyFont="1" applyFill="1" applyBorder="1" applyAlignment="1">
      <alignment horizontal="right" vertical="center"/>
    </xf>
    <xf numFmtId="164" fontId="5" fillId="0" borderId="1" xfId="0" applyNumberFormat="1" applyFont="1" applyBorder="1" applyAlignment="1">
      <alignment horizontal="right" vertical="center"/>
    </xf>
    <xf numFmtId="0" fontId="0" fillId="4" borderId="1" xfId="0" applyFill="1" applyBorder="1"/>
    <xf numFmtId="0" fontId="0" fillId="5" borderId="6" xfId="0" applyFill="1" applyBorder="1"/>
    <xf numFmtId="2" fontId="23" fillId="0" borderId="1" xfId="0" applyNumberFormat="1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right" vertical="center"/>
    </xf>
    <xf numFmtId="0" fontId="4" fillId="3" borderId="7" xfId="0" applyFont="1" applyFill="1" applyBorder="1" applyAlignment="1">
      <alignment horizontal="center" vertical="center" wrapText="1"/>
    </xf>
    <xf numFmtId="44" fontId="0" fillId="0" borderId="8" xfId="1" applyFont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0" applyNumberFormat="1"/>
    <xf numFmtId="44" fontId="0" fillId="0" borderId="0" xfId="0" applyNumberFormat="1" applyAlignment="1">
      <alignment horizontal="center" vertical="center"/>
    </xf>
    <xf numFmtId="44" fontId="0" fillId="0" borderId="8" xfId="0" applyNumberFormat="1" applyBorder="1" applyAlignment="1">
      <alignment horizontal="center" vertical="center"/>
    </xf>
    <xf numFmtId="44" fontId="0" fillId="8" borderId="8" xfId="1" applyFont="1" applyFill="1" applyBorder="1" applyAlignment="1">
      <alignment horizontal="center" vertical="center"/>
    </xf>
    <xf numFmtId="44" fontId="0" fillId="8" borderId="8" xfId="0" applyNumberFormat="1" applyFill="1" applyBorder="1" applyAlignment="1">
      <alignment horizontal="center" vertical="center"/>
    </xf>
    <xf numFmtId="44" fontId="0" fillId="9" borderId="8" xfId="0" applyNumberForma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0" fontId="16" fillId="10" borderId="1" xfId="0" applyFont="1" applyFill="1" applyBorder="1" applyAlignment="1">
      <alignment horizontal="left" vertical="center" wrapText="1"/>
    </xf>
    <xf numFmtId="44" fontId="0" fillId="9" borderId="8" xfId="1" applyFont="1" applyFill="1" applyBorder="1" applyAlignment="1">
      <alignment horizontal="center" vertical="center"/>
    </xf>
    <xf numFmtId="44" fontId="0" fillId="0" borderId="0" xfId="1" applyFont="1"/>
    <xf numFmtId="0" fontId="0" fillId="9" borderId="0" xfId="0" applyFill="1"/>
    <xf numFmtId="0" fontId="16" fillId="9" borderId="1" xfId="0" applyFont="1" applyFill="1" applyBorder="1" applyAlignment="1">
      <alignment horizontal="left" vertical="center" wrapText="1"/>
    </xf>
    <xf numFmtId="165" fontId="8" fillId="9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166" fontId="5" fillId="0" borderId="1" xfId="0" applyNumberFormat="1" applyFont="1" applyBorder="1" applyAlignment="1">
      <alignment horizontal="right" vertical="center"/>
    </xf>
    <xf numFmtId="167" fontId="5" fillId="0" borderId="1" xfId="0" applyNumberFormat="1" applyFont="1" applyBorder="1" applyAlignment="1">
      <alignment horizontal="right" vertical="center"/>
    </xf>
    <xf numFmtId="167" fontId="10" fillId="4" borderId="1" xfId="0" applyNumberFormat="1" applyFont="1" applyFill="1" applyBorder="1" applyAlignment="1">
      <alignment horizontal="right" vertical="center"/>
    </xf>
    <xf numFmtId="167" fontId="0" fillId="0" borderId="0" xfId="0" applyNumberFormat="1"/>
    <xf numFmtId="167" fontId="26" fillId="5" borderId="6" xfId="0" applyNumberFormat="1" applyFont="1" applyFill="1" applyBorder="1" applyAlignment="1">
      <alignment horizontal="right" vertical="center"/>
    </xf>
    <xf numFmtId="167" fontId="7" fillId="0" borderId="1" xfId="0" applyNumberFormat="1" applyFont="1" applyBorder="1" applyAlignment="1">
      <alignment horizontal="right" vertical="center"/>
    </xf>
    <xf numFmtId="167" fontId="11" fillId="5" borderId="1" xfId="0" applyNumberFormat="1" applyFont="1" applyFill="1" applyBorder="1" applyAlignment="1">
      <alignment horizontal="right" vertical="center"/>
    </xf>
    <xf numFmtId="167" fontId="12" fillId="0" borderId="1" xfId="0" applyNumberFormat="1" applyFont="1" applyBorder="1" applyAlignment="1">
      <alignment horizontal="right" vertical="center"/>
    </xf>
    <xf numFmtId="0" fontId="24" fillId="4" borderId="2" xfId="0" applyFont="1" applyFill="1" applyBorder="1" applyAlignment="1">
      <alignment horizontal="right" vertical="center" indent="1"/>
    </xf>
    <xf numFmtId="0" fontId="25" fillId="5" borderId="5" xfId="0" applyFont="1" applyFill="1" applyBorder="1" applyAlignment="1">
      <alignment horizontal="right" vertical="center" indent="1"/>
    </xf>
    <xf numFmtId="0" fontId="11" fillId="5" borderId="2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13" fillId="3" borderId="2" xfId="0" applyFont="1" applyFill="1" applyBorder="1" applyAlignment="1">
      <alignment horizontal="left" vertical="center" wrapText="1" indent="1"/>
    </xf>
    <xf numFmtId="0" fontId="14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indent="1"/>
    </xf>
    <xf numFmtId="0" fontId="13" fillId="3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4" borderId="1" xfId="0" applyFont="1" applyFill="1" applyBorder="1" applyAlignment="1">
      <alignment horizontal="right" vertical="center" indent="1"/>
    </xf>
    <xf numFmtId="0" fontId="11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5" fillId="5" borderId="2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left" vertical="center" wrapText="1"/>
    </xf>
    <xf numFmtId="0" fontId="12" fillId="7" borderId="2" xfId="0" applyFont="1" applyFill="1" applyBorder="1" applyAlignment="1">
      <alignment horizontal="left" vertical="center" wrapText="1" indent="1"/>
    </xf>
    <xf numFmtId="0" fontId="19" fillId="0" borderId="2" xfId="0" applyFont="1" applyBorder="1" applyAlignment="1">
      <alignment horizontal="left" vertical="center" wrapText="1"/>
    </xf>
    <xf numFmtId="0" fontId="19" fillId="0" borderId="3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left" vertical="center" wrapText="1"/>
    </xf>
    <xf numFmtId="44" fontId="0" fillId="9" borderId="0" xfId="1" applyFont="1" applyFill="1" applyAlignment="1">
      <alignment horizontal="center" vertical="center"/>
    </xf>
    <xf numFmtId="44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98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237960</xdr:colOff>
      <xdr:row>0</xdr:row>
      <xdr:rowOff>57240</xdr:rowOff>
    </xdr:from>
    <xdr:to>
      <xdr:col>1</xdr:col>
      <xdr:colOff>478440</xdr:colOff>
      <xdr:row>0</xdr:row>
      <xdr:rowOff>1131840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37960" y="57240"/>
          <a:ext cx="804240" cy="1074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3</xdr:col>
      <xdr:colOff>219943</xdr:colOff>
      <xdr:row>28</xdr:row>
      <xdr:rowOff>28632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87E2B6-D0A1-A655-2B45-0C587C273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" y="8305800"/>
          <a:ext cx="6220693" cy="4096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5</xdr:col>
      <xdr:colOff>86593</xdr:colOff>
      <xdr:row>27</xdr:row>
      <xdr:rowOff>28632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9243551-7E76-538F-FB64-CD927D07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8029575"/>
          <a:ext cx="6220693" cy="4096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5</xdr:col>
      <xdr:colOff>86593</xdr:colOff>
      <xdr:row>33</xdr:row>
      <xdr:rowOff>28632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E90E25-669D-2271-CC95-D6D4E18A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0553700"/>
          <a:ext cx="6220693" cy="40963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5</xdr:col>
      <xdr:colOff>86593</xdr:colOff>
      <xdr:row>25</xdr:row>
      <xdr:rowOff>28632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79D8C0C-A949-531E-8100-66650D124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7353300"/>
          <a:ext cx="6220693" cy="40963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</xdr:row>
      <xdr:rowOff>0</xdr:rowOff>
    </xdr:from>
    <xdr:to>
      <xdr:col>5</xdr:col>
      <xdr:colOff>86593</xdr:colOff>
      <xdr:row>24</xdr:row>
      <xdr:rowOff>28632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4B3146-39D4-D492-EE69-A09F05444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6953250"/>
          <a:ext cx="6220693" cy="4096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2047875</xdr:colOff>
      <xdr:row>55</xdr:row>
      <xdr:rowOff>0</xdr:rowOff>
    </xdr:from>
    <xdr:to>
      <xdr:col>9</xdr:col>
      <xdr:colOff>67543</xdr:colOff>
      <xdr:row>57</xdr:row>
      <xdr:rowOff>28632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8577674-9917-431D-BFFD-7CCD160E5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47925" y="14020800"/>
          <a:ext cx="6220693" cy="40963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5</xdr:col>
      <xdr:colOff>219943</xdr:colOff>
      <xdr:row>35</xdr:row>
      <xdr:rowOff>28632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A0C58B-399E-ECDA-6C3A-77683F1D7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" y="10572750"/>
          <a:ext cx="6220693" cy="4096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4"/>
  <sheetViews>
    <sheetView showGridLines="0" tabSelected="1" zoomScaleNormal="100" workbookViewId="0">
      <selection activeCell="B33" sqref="B33"/>
    </sheetView>
  </sheetViews>
  <sheetFormatPr baseColWidth="10" defaultColWidth="8.42578125" defaultRowHeight="15" x14ac:dyDescent="0.25"/>
  <cols>
    <col min="1" max="1" width="8" customWidth="1"/>
    <col min="2" max="2" width="60" customWidth="1"/>
    <col min="3" max="3" width="30" customWidth="1"/>
    <col min="4" max="4" width="29.85546875" bestFit="1" customWidth="1"/>
    <col min="5" max="5" width="14" customWidth="1"/>
  </cols>
  <sheetData>
    <row r="1" spans="1:6" ht="90.75" customHeight="1" x14ac:dyDescent="0.25">
      <c r="A1" s="60" t="s">
        <v>0</v>
      </c>
      <c r="B1" s="60"/>
      <c r="C1" s="60"/>
      <c r="D1" s="60"/>
      <c r="E1" s="60"/>
    </row>
    <row r="2" spans="1:6" ht="16.5" customHeight="1" x14ac:dyDescent="0.25">
      <c r="A2" s="61" t="s">
        <v>1</v>
      </c>
      <c r="B2" s="61"/>
      <c r="C2" s="61"/>
      <c r="D2" s="61"/>
      <c r="E2" s="61"/>
    </row>
    <row r="3" spans="1:6" ht="15" customHeight="1" x14ac:dyDescent="0.25">
      <c r="A3" s="62" t="s">
        <v>2</v>
      </c>
      <c r="B3" s="62"/>
      <c r="C3" s="62"/>
      <c r="D3" s="62"/>
      <c r="E3" s="62"/>
    </row>
    <row r="4" spans="1:6" ht="30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</row>
    <row r="5" spans="1:6" ht="25.5" customHeight="1" x14ac:dyDescent="0.25">
      <c r="A5" s="2" t="s">
        <v>8</v>
      </c>
      <c r="B5" s="3" t="s">
        <v>9</v>
      </c>
      <c r="C5" s="4" t="s">
        <v>10</v>
      </c>
      <c r="D5" s="49">
        <v>115207324843.84001</v>
      </c>
      <c r="E5" s="42">
        <f t="shared" ref="E5:E10" si="0">D5/$D$11</f>
        <v>0.32950478289936252</v>
      </c>
      <c r="F5" s="40"/>
    </row>
    <row r="6" spans="1:6" ht="25.5" customHeight="1" x14ac:dyDescent="0.25">
      <c r="A6" s="2" t="s">
        <v>11</v>
      </c>
      <c r="B6" s="3" t="s">
        <v>12</v>
      </c>
      <c r="C6" s="4" t="s">
        <v>13</v>
      </c>
      <c r="D6" s="49">
        <v>101231870045.82001</v>
      </c>
      <c r="E6" s="42">
        <f t="shared" si="0"/>
        <v>0.28953354664868713</v>
      </c>
      <c r="F6" s="40"/>
    </row>
    <row r="7" spans="1:6" ht="25.5" customHeight="1" x14ac:dyDescent="0.25">
      <c r="A7" s="2" t="s">
        <v>14</v>
      </c>
      <c r="B7" s="3" t="s">
        <v>15</v>
      </c>
      <c r="C7" s="4" t="s">
        <v>16</v>
      </c>
      <c r="D7" s="49">
        <v>52374834339.93</v>
      </c>
      <c r="E7" s="42">
        <f t="shared" si="0"/>
        <v>0.14979740604133526</v>
      </c>
    </row>
    <row r="8" spans="1:6" ht="25.5" customHeight="1" x14ac:dyDescent="0.25">
      <c r="A8" s="2" t="s">
        <v>17</v>
      </c>
      <c r="B8" s="3" t="s">
        <v>18</v>
      </c>
      <c r="C8" s="4" t="s">
        <v>19</v>
      </c>
      <c r="D8" s="49">
        <v>13806460397.02</v>
      </c>
      <c r="E8" s="42">
        <f t="shared" si="0"/>
        <v>3.9487894905077876E-2</v>
      </c>
    </row>
    <row r="9" spans="1:6" ht="25.5" customHeight="1" x14ac:dyDescent="0.25">
      <c r="A9" s="2" t="s">
        <v>20</v>
      </c>
      <c r="B9" s="3" t="s">
        <v>21</v>
      </c>
      <c r="C9" s="4" t="s">
        <v>22</v>
      </c>
      <c r="D9" s="49">
        <v>56027499526.940018</v>
      </c>
      <c r="E9" s="42">
        <f t="shared" si="0"/>
        <v>0.16024440367001205</v>
      </c>
    </row>
    <row r="10" spans="1:6" ht="25.5" customHeight="1" x14ac:dyDescent="0.25">
      <c r="A10" s="2" t="s">
        <v>23</v>
      </c>
      <c r="B10" s="3" t="s">
        <v>24</v>
      </c>
      <c r="C10" s="4" t="s">
        <v>25</v>
      </c>
      <c r="D10" s="49">
        <v>10989803142.25</v>
      </c>
      <c r="E10" s="42">
        <f t="shared" si="0"/>
        <v>3.1431965835525079E-2</v>
      </c>
    </row>
    <row r="11" spans="1:6" x14ac:dyDescent="0.25">
      <c r="A11" s="63" t="s">
        <v>26</v>
      </c>
      <c r="B11" s="63"/>
      <c r="C11" s="63"/>
      <c r="D11" s="46">
        <f>+D5+D6+D7+D8+D9+D10</f>
        <v>349637792295.80005</v>
      </c>
      <c r="E11" s="5" t="s">
        <v>27</v>
      </c>
    </row>
    <row r="12" spans="1:6" x14ac:dyDescent="0.25">
      <c r="A12" s="6"/>
      <c r="B12" s="6"/>
      <c r="C12" s="6"/>
      <c r="D12" s="6"/>
      <c r="E12" s="6"/>
    </row>
    <row r="13" spans="1:6" ht="59.25" customHeight="1" x14ac:dyDescent="0.25">
      <c r="A13" s="64" t="s">
        <v>28</v>
      </c>
      <c r="B13" s="64"/>
      <c r="C13" s="64"/>
      <c r="D13" s="50">
        <f>+D11</f>
        <v>349637792295.80005</v>
      </c>
      <c r="E13" s="7"/>
    </row>
    <row r="14" spans="1:6" x14ac:dyDescent="0.25">
      <c r="A14" s="58" t="s">
        <v>29</v>
      </c>
      <c r="B14" s="58"/>
      <c r="C14" s="58"/>
      <c r="D14" s="51">
        <f>D13/'1. Parámetros'!$B$4</f>
        <v>9712160897.1055565</v>
      </c>
      <c r="E14" s="6"/>
    </row>
    <row r="15" spans="1:6" x14ac:dyDescent="0.25">
      <c r="A15" s="58" t="s">
        <v>30</v>
      </c>
      <c r="B15" s="58"/>
      <c r="C15" s="58"/>
      <c r="D15" s="51">
        <f>D13/'1. Parámetros'!$B$5</f>
        <v>399129899.88105029</v>
      </c>
      <c r="E15" s="6"/>
    </row>
    <row r="17" spans="1:5" ht="15" customHeight="1" x14ac:dyDescent="0.25">
      <c r="A17" s="59" t="s">
        <v>31</v>
      </c>
      <c r="B17" s="59"/>
      <c r="C17" s="59"/>
      <c r="D17" s="59"/>
      <c r="E17" s="59"/>
    </row>
    <row r="18" spans="1:5" ht="30" customHeight="1" x14ac:dyDescent="0.25">
      <c r="A18" s="57" t="s">
        <v>32</v>
      </c>
      <c r="B18" s="57"/>
      <c r="C18" s="57"/>
      <c r="D18" s="57"/>
      <c r="E18" s="57"/>
    </row>
    <row r="19" spans="1:5" ht="30" customHeight="1" x14ac:dyDescent="0.25">
      <c r="A19" s="57" t="s">
        <v>33</v>
      </c>
      <c r="B19" s="57"/>
      <c r="C19" s="57"/>
      <c r="D19" s="57"/>
      <c r="E19" s="57"/>
    </row>
    <row r="20" spans="1:5" ht="30" customHeight="1" x14ac:dyDescent="0.25">
      <c r="A20" s="57" t="s">
        <v>34</v>
      </c>
      <c r="B20" s="57"/>
      <c r="C20" s="57"/>
      <c r="D20" s="57"/>
      <c r="E20" s="57"/>
    </row>
    <row r="21" spans="1:5" ht="30" customHeight="1" x14ac:dyDescent="0.25">
      <c r="A21" s="57" t="s">
        <v>35</v>
      </c>
      <c r="B21" s="57"/>
      <c r="C21" s="57"/>
      <c r="D21" s="57"/>
      <c r="E21" s="57"/>
    </row>
    <row r="22" spans="1:5" ht="16.5" customHeight="1" x14ac:dyDescent="0.25">
      <c r="A22" s="57" t="s">
        <v>36</v>
      </c>
      <c r="B22" s="57"/>
      <c r="C22" s="57"/>
      <c r="D22" s="57"/>
      <c r="E22" s="57"/>
    </row>
    <row r="23" spans="1:5" ht="16.5" customHeight="1" x14ac:dyDescent="0.25">
      <c r="A23" s="57" t="s">
        <v>37</v>
      </c>
      <c r="B23" s="57"/>
      <c r="C23" s="57"/>
      <c r="D23" s="57"/>
      <c r="E23" s="57"/>
    </row>
    <row r="24" spans="1:5" ht="16.5" customHeight="1" x14ac:dyDescent="0.25">
      <c r="A24" s="57" t="s">
        <v>38</v>
      </c>
      <c r="B24" s="57"/>
      <c r="C24" s="57"/>
      <c r="D24" s="57"/>
      <c r="E24" s="57"/>
    </row>
  </sheetData>
  <mergeCells count="15">
    <mergeCell ref="A1:E1"/>
    <mergeCell ref="A2:E2"/>
    <mergeCell ref="A3:E3"/>
    <mergeCell ref="A11:C11"/>
    <mergeCell ref="A13:C13"/>
    <mergeCell ref="A14:C14"/>
    <mergeCell ref="A15:C15"/>
    <mergeCell ref="A17:E17"/>
    <mergeCell ref="A18:E18"/>
    <mergeCell ref="A19:E19"/>
    <mergeCell ref="A20:E20"/>
    <mergeCell ref="A21:E21"/>
    <mergeCell ref="A22:E22"/>
    <mergeCell ref="A23:E23"/>
    <mergeCell ref="A24:E2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1"/>
  <sheetViews>
    <sheetView showGridLines="0" topLeftCell="A28" zoomScaleNormal="100" workbookViewId="0">
      <selection activeCell="A28" sqref="A28"/>
    </sheetView>
  </sheetViews>
  <sheetFormatPr baseColWidth="10" defaultColWidth="8.42578125" defaultRowHeight="15" x14ac:dyDescent="0.25"/>
  <cols>
    <col min="1" max="1" width="48" customWidth="1"/>
    <col min="2" max="2" width="16" customWidth="1"/>
    <col min="3" max="3" width="14" customWidth="1"/>
    <col min="4" max="4" width="58" customWidth="1"/>
  </cols>
  <sheetData>
    <row r="1" spans="1:4" ht="31.5" customHeight="1" x14ac:dyDescent="0.25">
      <c r="A1" s="69" t="s">
        <v>39</v>
      </c>
      <c r="B1" s="69"/>
      <c r="C1" s="69"/>
      <c r="D1" s="69"/>
    </row>
    <row r="3" spans="1:4" ht="21.75" customHeight="1" x14ac:dyDescent="0.25">
      <c r="A3" s="1" t="s">
        <v>40</v>
      </c>
      <c r="B3" s="1" t="s">
        <v>41</v>
      </c>
      <c r="C3" s="1" t="s">
        <v>42</v>
      </c>
      <c r="D3" s="1" t="s">
        <v>43</v>
      </c>
    </row>
    <row r="4" spans="1:4" x14ac:dyDescent="0.25">
      <c r="A4" s="8" t="s">
        <v>44</v>
      </c>
      <c r="B4" s="9">
        <v>36</v>
      </c>
      <c r="C4" s="10" t="s">
        <v>45</v>
      </c>
      <c r="D4" s="4" t="s">
        <v>46</v>
      </c>
    </row>
    <row r="5" spans="1:4" ht="25.5" x14ac:dyDescent="0.25">
      <c r="A5" s="8" t="s">
        <v>47</v>
      </c>
      <c r="B5" s="9">
        <v>876</v>
      </c>
      <c r="C5" s="10" t="s">
        <v>48</v>
      </c>
      <c r="D5" s="4" t="s">
        <v>49</v>
      </c>
    </row>
    <row r="6" spans="1:4" x14ac:dyDescent="0.25">
      <c r="A6" s="8" t="s">
        <v>50</v>
      </c>
      <c r="B6" s="9">
        <v>2</v>
      </c>
      <c r="C6" s="10" t="s">
        <v>51</v>
      </c>
      <c r="D6" s="4" t="s">
        <v>52</v>
      </c>
    </row>
    <row r="7" spans="1:4" x14ac:dyDescent="0.25">
      <c r="A7" s="8" t="s">
        <v>53</v>
      </c>
      <c r="B7" s="9">
        <v>765</v>
      </c>
      <c r="C7" s="10" t="s">
        <v>48</v>
      </c>
      <c r="D7" s="4" t="s">
        <v>54</v>
      </c>
    </row>
    <row r="8" spans="1:4" x14ac:dyDescent="0.25">
      <c r="A8" s="8" t="s">
        <v>55</v>
      </c>
      <c r="B8" s="9">
        <v>86</v>
      </c>
      <c r="C8" s="10" t="s">
        <v>48</v>
      </c>
      <c r="D8" s="4" t="s">
        <v>56</v>
      </c>
    </row>
    <row r="9" spans="1:4" x14ac:dyDescent="0.25">
      <c r="A9" s="8" t="s">
        <v>57</v>
      </c>
      <c r="B9" s="9">
        <v>25</v>
      </c>
      <c r="C9" s="10" t="s">
        <v>48</v>
      </c>
      <c r="D9" s="4" t="s">
        <v>58</v>
      </c>
    </row>
    <row r="10" spans="1:4" x14ac:dyDescent="0.25">
      <c r="A10" s="8" t="s">
        <v>59</v>
      </c>
      <c r="B10" s="9">
        <v>4</v>
      </c>
      <c r="C10" s="10" t="s">
        <v>60</v>
      </c>
      <c r="D10" s="4" t="s">
        <v>61</v>
      </c>
    </row>
    <row r="11" spans="1:4" ht="25.5" x14ac:dyDescent="0.25">
      <c r="A11" s="8" t="s">
        <v>62</v>
      </c>
      <c r="B11" s="9">
        <v>4</v>
      </c>
      <c r="C11" s="10" t="s">
        <v>60</v>
      </c>
      <c r="D11" s="4" t="s">
        <v>63</v>
      </c>
    </row>
    <row r="12" spans="1:4" x14ac:dyDescent="0.25">
      <c r="A12" s="8" t="s">
        <v>64</v>
      </c>
      <c r="B12" s="9">
        <v>30000</v>
      </c>
      <c r="C12" s="10" t="s">
        <v>65</v>
      </c>
      <c r="D12" s="4" t="s">
        <v>66</v>
      </c>
    </row>
    <row r="13" spans="1:4" x14ac:dyDescent="0.25">
      <c r="A13" s="8" t="s">
        <v>67</v>
      </c>
      <c r="B13" s="9">
        <v>26000</v>
      </c>
      <c r="C13" s="10" t="s">
        <v>68</v>
      </c>
      <c r="D13" s="4" t="s">
        <v>69</v>
      </c>
    </row>
    <row r="14" spans="1:4" ht="25.5" x14ac:dyDescent="0.25">
      <c r="A14" s="8" t="s">
        <v>70</v>
      </c>
      <c r="B14" s="9">
        <v>500</v>
      </c>
      <c r="C14" s="10" t="s">
        <v>71</v>
      </c>
      <c r="D14" s="4" t="s">
        <v>72</v>
      </c>
    </row>
    <row r="15" spans="1:4" x14ac:dyDescent="0.25">
      <c r="A15" s="8" t="s">
        <v>73</v>
      </c>
      <c r="B15" s="9">
        <v>1500</v>
      </c>
      <c r="C15" s="10" t="s">
        <v>74</v>
      </c>
      <c r="D15" s="4" t="s">
        <v>75</v>
      </c>
    </row>
    <row r="16" spans="1:4" ht="25.5" x14ac:dyDescent="0.25">
      <c r="A16" s="8" t="s">
        <v>76</v>
      </c>
      <c r="B16" s="9">
        <v>2000</v>
      </c>
      <c r="C16" s="10" t="s">
        <v>77</v>
      </c>
      <c r="D16" s="4" t="s">
        <v>78</v>
      </c>
    </row>
    <row r="17" spans="1:4" x14ac:dyDescent="0.25">
      <c r="A17" s="8" t="s">
        <v>79</v>
      </c>
      <c r="B17" s="9">
        <v>4</v>
      </c>
      <c r="C17" s="10" t="s">
        <v>80</v>
      </c>
      <c r="D17" s="4" t="s">
        <v>81</v>
      </c>
    </row>
    <row r="18" spans="1:4" ht="25.5" x14ac:dyDescent="0.25">
      <c r="A18" s="8" t="s">
        <v>82</v>
      </c>
      <c r="B18" s="9">
        <v>31</v>
      </c>
      <c r="C18" s="10" t="s">
        <v>83</v>
      </c>
      <c r="D18" s="4" t="s">
        <v>84</v>
      </c>
    </row>
    <row r="19" spans="1:4" x14ac:dyDescent="0.25">
      <c r="A19" s="8" t="s">
        <v>85</v>
      </c>
      <c r="B19" s="9">
        <v>7</v>
      </c>
      <c r="C19" s="10" t="s">
        <v>83</v>
      </c>
      <c r="D19" s="4" t="s">
        <v>86</v>
      </c>
    </row>
    <row r="20" spans="1:4" x14ac:dyDescent="0.25">
      <c r="A20" s="8" t="s">
        <v>87</v>
      </c>
      <c r="B20" s="9">
        <v>3</v>
      </c>
      <c r="C20" s="10" t="s">
        <v>83</v>
      </c>
      <c r="D20" s="4" t="s">
        <v>88</v>
      </c>
    </row>
    <row r="21" spans="1:4" x14ac:dyDescent="0.25">
      <c r="A21" s="8" t="s">
        <v>89</v>
      </c>
      <c r="B21" s="9">
        <v>45</v>
      </c>
      <c r="C21" s="10" t="s">
        <v>83</v>
      </c>
      <c r="D21" s="4" t="s">
        <v>86</v>
      </c>
    </row>
    <row r="22" spans="1:4" x14ac:dyDescent="0.25">
      <c r="A22" s="8" t="s">
        <v>90</v>
      </c>
      <c r="B22" s="9">
        <v>7</v>
      </c>
      <c r="C22" s="10" t="s">
        <v>91</v>
      </c>
      <c r="D22" s="4" t="s">
        <v>86</v>
      </c>
    </row>
    <row r="23" spans="1:4" x14ac:dyDescent="0.25">
      <c r="A23" s="8" t="s">
        <v>92</v>
      </c>
      <c r="B23" s="9">
        <v>20</v>
      </c>
      <c r="C23" s="10" t="s">
        <v>91</v>
      </c>
      <c r="D23" s="4" t="s">
        <v>93</v>
      </c>
    </row>
    <row r="24" spans="1:4" x14ac:dyDescent="0.25">
      <c r="A24" s="8" t="s">
        <v>94</v>
      </c>
      <c r="B24" s="9">
        <v>6000</v>
      </c>
      <c r="C24" s="10" t="s">
        <v>95</v>
      </c>
      <c r="D24" s="4" t="s">
        <v>96</v>
      </c>
    </row>
    <row r="25" spans="1:4" x14ac:dyDescent="0.25">
      <c r="A25" s="8" t="s">
        <v>97</v>
      </c>
      <c r="B25" s="9">
        <v>1000</v>
      </c>
      <c r="C25" s="10" t="s">
        <v>95</v>
      </c>
      <c r="D25" s="4" t="s">
        <v>96</v>
      </c>
    </row>
    <row r="26" spans="1:4" x14ac:dyDescent="0.25">
      <c r="A26" s="8" t="s">
        <v>98</v>
      </c>
      <c r="B26" s="9">
        <v>6</v>
      </c>
      <c r="C26" s="10" t="s">
        <v>99</v>
      </c>
      <c r="D26" s="4" t="s">
        <v>100</v>
      </c>
    </row>
    <row r="27" spans="1:4" x14ac:dyDescent="0.25">
      <c r="A27" s="8" t="s">
        <v>101</v>
      </c>
      <c r="B27" s="9">
        <v>10</v>
      </c>
      <c r="C27" s="10" t="s">
        <v>45</v>
      </c>
      <c r="D27" s="4" t="s">
        <v>102</v>
      </c>
    </row>
    <row r="28" spans="1:4" x14ac:dyDescent="0.25">
      <c r="A28" s="8" t="s">
        <v>103</v>
      </c>
      <c r="B28" s="11">
        <v>1.85</v>
      </c>
      <c r="C28" s="10" t="s">
        <v>104</v>
      </c>
      <c r="D28" s="4" t="s">
        <v>105</v>
      </c>
    </row>
    <row r="29" spans="1:4" x14ac:dyDescent="0.25">
      <c r="A29" s="8" t="s">
        <v>106</v>
      </c>
      <c r="B29" s="12">
        <v>0.02</v>
      </c>
      <c r="C29" s="10" t="s">
        <v>107</v>
      </c>
      <c r="D29" s="4" t="s">
        <v>108</v>
      </c>
    </row>
    <row r="30" spans="1:4" x14ac:dyDescent="0.25">
      <c r="A30" s="8" t="s">
        <v>109</v>
      </c>
      <c r="B30" s="12">
        <v>0.08</v>
      </c>
      <c r="C30" s="10" t="s">
        <v>107</v>
      </c>
      <c r="D30" s="4" t="s">
        <v>110</v>
      </c>
    </row>
    <row r="31" spans="1:4" x14ac:dyDescent="0.25">
      <c r="A31" s="8" t="s">
        <v>111</v>
      </c>
      <c r="B31" s="12">
        <v>7.0000000000000007E-2</v>
      </c>
      <c r="C31" s="10" t="s">
        <v>107</v>
      </c>
      <c r="D31" s="4" t="s">
        <v>110</v>
      </c>
    </row>
    <row r="32" spans="1:4" x14ac:dyDescent="0.25">
      <c r="A32" s="8" t="s">
        <v>112</v>
      </c>
      <c r="B32" s="12">
        <v>0.19</v>
      </c>
      <c r="C32" s="10" t="s">
        <v>107</v>
      </c>
      <c r="D32" s="4" t="s">
        <v>113</v>
      </c>
    </row>
    <row r="33" spans="1:4" ht="25.5" x14ac:dyDescent="0.25">
      <c r="A33" s="8" t="s">
        <v>114</v>
      </c>
      <c r="B33" s="13">
        <v>35000</v>
      </c>
      <c r="C33" s="10" t="s">
        <v>115</v>
      </c>
      <c r="D33" s="4" t="s">
        <v>116</v>
      </c>
    </row>
    <row r="34" spans="1:4" ht="25.5" x14ac:dyDescent="0.25">
      <c r="A34" s="8" t="s">
        <v>117</v>
      </c>
      <c r="B34" s="13">
        <v>30000</v>
      </c>
      <c r="C34" s="10" t="s">
        <v>65</v>
      </c>
      <c r="D34" s="4" t="s">
        <v>118</v>
      </c>
    </row>
    <row r="35" spans="1:4" ht="27.75" customHeight="1" x14ac:dyDescent="0.25">
      <c r="A35" s="8" t="s">
        <v>119</v>
      </c>
      <c r="B35" s="13">
        <v>4</v>
      </c>
      <c r="C35" s="10" t="s">
        <v>120</v>
      </c>
      <c r="D35" s="4" t="s">
        <v>121</v>
      </c>
    </row>
    <row r="36" spans="1:4" ht="27.75" customHeight="1" x14ac:dyDescent="0.25"/>
    <row r="37" spans="1:4" ht="27.75" customHeight="1" x14ac:dyDescent="0.25">
      <c r="A37" s="59" t="s">
        <v>122</v>
      </c>
      <c r="B37" s="59"/>
      <c r="C37" s="59"/>
      <c r="D37" s="59"/>
    </row>
    <row r="38" spans="1:4" ht="27.75" customHeight="1" x14ac:dyDescent="0.25">
      <c r="A38" s="67" t="s">
        <v>123</v>
      </c>
      <c r="B38" s="67"/>
      <c r="C38" s="67"/>
      <c r="D38" s="67"/>
    </row>
    <row r="39" spans="1:4" ht="27.75" customHeight="1" x14ac:dyDescent="0.25">
      <c r="A39" s="70" t="s">
        <v>124</v>
      </c>
      <c r="B39" s="70"/>
      <c r="C39" s="70"/>
      <c r="D39" s="70"/>
    </row>
    <row r="40" spans="1:4" ht="27.75" customHeight="1" x14ac:dyDescent="0.25">
      <c r="A40" s="67" t="s">
        <v>125</v>
      </c>
      <c r="B40" s="67"/>
      <c r="C40" s="67"/>
      <c r="D40" s="67"/>
    </row>
    <row r="41" spans="1:4" ht="15" customHeight="1" x14ac:dyDescent="0.25">
      <c r="A41" s="67" t="s">
        <v>126</v>
      </c>
      <c r="B41" s="67"/>
      <c r="C41" s="67"/>
      <c r="D41" s="67"/>
    </row>
    <row r="42" spans="1:4" ht="15" customHeight="1" x14ac:dyDescent="0.25">
      <c r="A42" s="67" t="s">
        <v>127</v>
      </c>
      <c r="B42" s="67"/>
      <c r="C42" s="67"/>
      <c r="D42" s="67"/>
    </row>
    <row r="43" spans="1:4" ht="15" customHeight="1" x14ac:dyDescent="0.25">
      <c r="A43" s="67" t="s">
        <v>128</v>
      </c>
      <c r="B43" s="67"/>
      <c r="C43" s="67"/>
      <c r="D43" s="67"/>
    </row>
    <row r="44" spans="1:4" ht="27.75" customHeight="1" x14ac:dyDescent="0.25">
      <c r="A44" s="72" t="s">
        <v>129</v>
      </c>
      <c r="B44" s="73"/>
      <c r="C44" s="73"/>
      <c r="D44" s="74"/>
    </row>
    <row r="45" spans="1:4" ht="15" customHeight="1" x14ac:dyDescent="0.25">
      <c r="A45" s="68"/>
      <c r="B45" s="68"/>
      <c r="C45" s="68"/>
      <c r="D45" s="68"/>
    </row>
    <row r="46" spans="1:4" ht="15" customHeight="1" x14ac:dyDescent="0.25">
      <c r="A46" s="59" t="s">
        <v>130</v>
      </c>
      <c r="B46" s="59"/>
      <c r="C46" s="59"/>
      <c r="D46" s="59"/>
    </row>
    <row r="47" spans="1:4" ht="15" customHeight="1" x14ac:dyDescent="0.25">
      <c r="A47" s="14" t="s">
        <v>131</v>
      </c>
      <c r="B47" s="65" t="s">
        <v>132</v>
      </c>
      <c r="C47" s="65"/>
      <c r="D47" s="65"/>
    </row>
    <row r="48" spans="1:4" ht="15" customHeight="1" x14ac:dyDescent="0.25">
      <c r="A48" s="15" t="s">
        <v>133</v>
      </c>
      <c r="B48" s="65" t="s">
        <v>134</v>
      </c>
      <c r="C48" s="65"/>
      <c r="D48" s="65"/>
    </row>
    <row r="49" spans="1:4" ht="15" customHeight="1" x14ac:dyDescent="0.25">
      <c r="A49" s="16" t="s">
        <v>135</v>
      </c>
      <c r="B49" s="66" t="s">
        <v>136</v>
      </c>
      <c r="C49" s="66"/>
      <c r="D49" s="66"/>
    </row>
    <row r="50" spans="1:4" ht="15" customHeight="1" x14ac:dyDescent="0.25">
      <c r="A50" s="17" t="s">
        <v>137</v>
      </c>
      <c r="B50" s="65" t="s">
        <v>138</v>
      </c>
      <c r="C50" s="65"/>
      <c r="D50" s="65"/>
    </row>
    <row r="51" spans="1:4" ht="15" customHeight="1" x14ac:dyDescent="0.25">
      <c r="A51" s="18" t="s">
        <v>139</v>
      </c>
      <c r="B51" s="65" t="s">
        <v>140</v>
      </c>
      <c r="C51" s="65"/>
      <c r="D51" s="65"/>
    </row>
  </sheetData>
  <mergeCells count="16">
    <mergeCell ref="A1:D1"/>
    <mergeCell ref="A37:D37"/>
    <mergeCell ref="A38:D38"/>
    <mergeCell ref="A39:D39"/>
    <mergeCell ref="A40:D40"/>
    <mergeCell ref="A41:D41"/>
    <mergeCell ref="A42:D42"/>
    <mergeCell ref="A43:D43"/>
    <mergeCell ref="A45:D45"/>
    <mergeCell ref="A46:D46"/>
    <mergeCell ref="A44:D44"/>
    <mergeCell ref="B47:D47"/>
    <mergeCell ref="B48:D48"/>
    <mergeCell ref="B49:D49"/>
    <mergeCell ref="B50:D50"/>
    <mergeCell ref="B51:D51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5"/>
  <sheetViews>
    <sheetView topLeftCell="A5" zoomScaleNormal="100" workbookViewId="0">
      <selection activeCell="Q21" sqref="Q21"/>
    </sheetView>
  </sheetViews>
  <sheetFormatPr baseColWidth="10" defaultColWidth="8.42578125" defaultRowHeight="15" x14ac:dyDescent="0.25"/>
  <cols>
    <col min="1" max="1" width="6" customWidth="1"/>
    <col min="2" max="2" width="46" customWidth="1"/>
    <col min="3" max="3" width="16" customWidth="1"/>
    <col min="4" max="4" width="10" customWidth="1"/>
    <col min="5" max="5" width="20" customWidth="1"/>
    <col min="6" max="6" width="8" customWidth="1"/>
    <col min="7" max="7" width="25.140625" customWidth="1"/>
    <col min="8" max="8" width="30" customWidth="1"/>
    <col min="9" max="9" width="3.42578125" customWidth="1"/>
    <col min="10" max="10" width="16.5703125" customWidth="1"/>
    <col min="11" max="11" width="23" customWidth="1"/>
    <col min="12" max="18" width="16.5703125" customWidth="1"/>
    <col min="20" max="20" width="16.42578125" customWidth="1"/>
    <col min="21" max="21" width="16.5703125" customWidth="1"/>
    <col min="22" max="22" width="18.140625" customWidth="1"/>
    <col min="23" max="23" width="18.5703125" customWidth="1"/>
  </cols>
  <sheetData>
    <row r="1" spans="1:23" ht="30" customHeight="1" x14ac:dyDescent="0.25">
      <c r="A1" s="54" t="s">
        <v>141</v>
      </c>
      <c r="B1" s="54"/>
      <c r="C1" s="54"/>
      <c r="D1" s="54"/>
      <c r="E1" s="54"/>
      <c r="F1" s="54"/>
      <c r="G1" s="54"/>
      <c r="H1" s="54"/>
    </row>
    <row r="2" spans="1:23" ht="15" customHeight="1" x14ac:dyDescent="0.25">
      <c r="A2" s="55" t="s">
        <v>142</v>
      </c>
      <c r="B2" s="55"/>
      <c r="C2" s="55"/>
      <c r="D2" s="55"/>
      <c r="E2" s="55"/>
      <c r="F2" s="55"/>
      <c r="G2" s="55"/>
      <c r="H2" s="55"/>
    </row>
    <row r="4" spans="1:23" ht="37.5" customHeight="1" x14ac:dyDescent="0.25">
      <c r="A4" s="1" t="s">
        <v>3</v>
      </c>
      <c r="B4" s="1" t="s">
        <v>143</v>
      </c>
      <c r="C4" s="1" t="s">
        <v>42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J4" s="27" t="s">
        <v>403</v>
      </c>
      <c r="K4" s="27" t="s">
        <v>404</v>
      </c>
      <c r="L4" s="27" t="s">
        <v>405</v>
      </c>
      <c r="M4" s="27" t="s">
        <v>406</v>
      </c>
      <c r="N4" s="27" t="s">
        <v>407</v>
      </c>
      <c r="O4" s="27" t="s">
        <v>408</v>
      </c>
      <c r="P4" s="27" t="s">
        <v>409</v>
      </c>
      <c r="Q4" s="27" t="s">
        <v>410</v>
      </c>
      <c r="R4" s="27" t="s">
        <v>411</v>
      </c>
      <c r="T4" s="27" t="s">
        <v>414</v>
      </c>
      <c r="U4" s="27" t="s">
        <v>415</v>
      </c>
      <c r="V4" s="27" t="s">
        <v>412</v>
      </c>
      <c r="W4" s="27" t="s">
        <v>413</v>
      </c>
    </row>
    <row r="5" spans="1:23" ht="15" customHeight="1" x14ac:dyDescent="0.25">
      <c r="A5" s="56" t="s">
        <v>149</v>
      </c>
      <c r="B5" s="56"/>
      <c r="C5" s="56"/>
      <c r="D5" s="56"/>
      <c r="E5" s="56"/>
      <c r="F5" s="56"/>
      <c r="G5" s="56"/>
      <c r="H5" s="56"/>
    </row>
    <row r="6" spans="1:23" ht="38.25" x14ac:dyDescent="0.25">
      <c r="A6" s="19">
        <v>1</v>
      </c>
      <c r="B6" s="8" t="s">
        <v>150</v>
      </c>
      <c r="C6" s="10" t="s">
        <v>151</v>
      </c>
      <c r="D6" s="20">
        <f>'1. Parámetros'!$B$6</f>
        <v>2</v>
      </c>
      <c r="E6" s="21">
        <v>130241886.56999999</v>
      </c>
      <c r="F6" s="20">
        <f>'1. Parámetros'!$B$4</f>
        <v>36</v>
      </c>
      <c r="G6" s="45">
        <f>ROUND(D6*E6*F6,2)</f>
        <v>9377415833.0400009</v>
      </c>
      <c r="H6" s="4" t="s">
        <v>52</v>
      </c>
      <c r="J6" s="38">
        <v>66056300.32</v>
      </c>
      <c r="K6" s="38">
        <v>181707143.86000001</v>
      </c>
      <c r="L6" s="38">
        <v>126177187.5</v>
      </c>
      <c r="M6" s="38">
        <v>182000000</v>
      </c>
      <c r="N6" s="38">
        <v>171080000</v>
      </c>
      <c r="O6" s="38">
        <v>144875182.40000001</v>
      </c>
      <c r="P6" s="38">
        <v>290836000</v>
      </c>
      <c r="Q6" s="38">
        <v>5580000</v>
      </c>
      <c r="R6" s="38">
        <v>15748500</v>
      </c>
      <c r="S6" s="40"/>
      <c r="T6" s="35">
        <f>+MIN(K6,L6,M6,N6,O6)</f>
        <v>126177187.5</v>
      </c>
      <c r="U6" s="35">
        <f>+MAX(J6:R6)</f>
        <v>290836000</v>
      </c>
      <c r="V6" s="35">
        <f>+ROUND(AVERAGE(K6,L6,M6,N6,O6,),2)</f>
        <v>134306585.63</v>
      </c>
      <c r="W6" s="35">
        <f>+ROUND(AVERAGE(V6,T6),2)</f>
        <v>130241886.56999999</v>
      </c>
    </row>
    <row r="7" spans="1:23" ht="31.5" customHeight="1" x14ac:dyDescent="0.25">
      <c r="A7" s="19">
        <v>2</v>
      </c>
      <c r="B7" s="8" t="s">
        <v>152</v>
      </c>
      <c r="C7" s="10" t="s">
        <v>153</v>
      </c>
      <c r="D7" s="20">
        <f>'1. Parámetros'!$B$7</f>
        <v>765</v>
      </c>
      <c r="E7" s="21">
        <v>3127558.41</v>
      </c>
      <c r="F7" s="20">
        <f>'1. Parámetros'!$B$4</f>
        <v>36</v>
      </c>
      <c r="G7" s="45">
        <f t="shared" ref="G7:G11" si="0">ROUND(D7*E7*F7,2)</f>
        <v>86132958611.399994</v>
      </c>
      <c r="H7" s="4" t="s">
        <v>154</v>
      </c>
      <c r="J7" s="38">
        <v>1326917.26</v>
      </c>
      <c r="K7" s="38">
        <v>3836039.7</v>
      </c>
      <c r="L7" s="38">
        <v>7332780</v>
      </c>
      <c r="M7" s="38">
        <v>3250000</v>
      </c>
      <c r="N7" s="38">
        <v>3384835.1012550001</v>
      </c>
      <c r="O7" s="38">
        <v>9580803.1999999993</v>
      </c>
      <c r="P7" s="38">
        <v>5861600</v>
      </c>
      <c r="Q7" s="38">
        <v>3840000</v>
      </c>
      <c r="R7" s="38">
        <v>637000</v>
      </c>
      <c r="S7" s="40"/>
      <c r="T7" s="35">
        <f>+MIN(J7,K7,M7,N7,Q7)</f>
        <v>1326917.26</v>
      </c>
      <c r="U7" s="35">
        <f t="shared" ref="U7:U11" si="1">+MAX(J7:R7)</f>
        <v>9580803.1999999993</v>
      </c>
      <c r="V7" s="35">
        <f>+ROUND(AVERAGE(J7,K7,M7,N7,Q7),2)</f>
        <v>3127558.41</v>
      </c>
      <c r="W7" s="35">
        <f t="shared" ref="W7:W11" si="2">+ROUND(AVERAGE(V7,T7),2)</f>
        <v>2227237.84</v>
      </c>
    </row>
    <row r="8" spans="1:23" ht="31.5" customHeight="1" x14ac:dyDescent="0.25">
      <c r="A8" s="19">
        <v>3</v>
      </c>
      <c r="B8" s="8" t="s">
        <v>155</v>
      </c>
      <c r="C8" s="10" t="s">
        <v>153</v>
      </c>
      <c r="D8" s="20">
        <f>'1. Parámetros'!$B$8</f>
        <v>86</v>
      </c>
      <c r="E8" s="21">
        <v>2434778.2200000002</v>
      </c>
      <c r="F8" s="20">
        <f>'1. Parámetros'!$B$4</f>
        <v>36</v>
      </c>
      <c r="G8" s="45">
        <f t="shared" si="0"/>
        <v>7538073369.1199999</v>
      </c>
      <c r="H8" s="4" t="s">
        <v>156</v>
      </c>
      <c r="J8" s="38">
        <v>1085659.57</v>
      </c>
      <c r="K8" s="38">
        <v>2624658.7400000002</v>
      </c>
      <c r="L8" s="38">
        <v>8075340</v>
      </c>
      <c r="M8" s="38">
        <v>2850000</v>
      </c>
      <c r="N8" s="38">
        <v>3039999.9707400003</v>
      </c>
      <c r="O8" s="38">
        <v>2573572.7999999998</v>
      </c>
      <c r="P8" s="38">
        <v>5168000</v>
      </c>
      <c r="Q8" s="38">
        <v>5400000</v>
      </c>
      <c r="R8" s="38">
        <v>637000</v>
      </c>
      <c r="S8" s="40"/>
      <c r="T8" s="35">
        <f>+MIN(J8,K8,M8,N8,O8)</f>
        <v>1085659.57</v>
      </c>
      <c r="U8" s="35">
        <f>+MAX(J8:R8)</f>
        <v>8075340</v>
      </c>
      <c r="V8" s="35">
        <f>+ROUND(AVERAGE(J8,K8,M8,N8,O8),2)</f>
        <v>2434778.2200000002</v>
      </c>
      <c r="W8" s="35">
        <f t="shared" si="2"/>
        <v>1760218.9</v>
      </c>
    </row>
    <row r="9" spans="1:23" ht="31.5" customHeight="1" x14ac:dyDescent="0.25">
      <c r="A9" s="19">
        <v>4</v>
      </c>
      <c r="B9" s="8" t="s">
        <v>157</v>
      </c>
      <c r="C9" s="10" t="s">
        <v>153</v>
      </c>
      <c r="D9" s="20">
        <f>'1. Parámetros'!$B$9</f>
        <v>25</v>
      </c>
      <c r="E9" s="21">
        <v>1937643.91</v>
      </c>
      <c r="F9" s="20">
        <f>'1. Parámetros'!$B$4</f>
        <v>36</v>
      </c>
      <c r="G9" s="45">
        <f t="shared" si="0"/>
        <v>1743879519</v>
      </c>
      <c r="H9" s="4" t="s">
        <v>158</v>
      </c>
      <c r="J9" s="38">
        <v>2653834.52</v>
      </c>
      <c r="K9" s="38">
        <v>7268285.75</v>
      </c>
      <c r="L9" s="38">
        <v>3271905</v>
      </c>
      <c r="M9" s="38">
        <v>1450000</v>
      </c>
      <c r="N9" s="38">
        <v>1574187.3670000001</v>
      </c>
      <c r="O9" s="38">
        <v>8163887.9124244181</v>
      </c>
      <c r="P9" s="38">
        <v>2475200</v>
      </c>
      <c r="Q9" s="38">
        <v>11040000</v>
      </c>
      <c r="R9" s="38">
        <v>3126600</v>
      </c>
      <c r="S9" s="40"/>
      <c r="T9" s="35">
        <f>+MIN(J9,L9,M9,N9,P9,R9)</f>
        <v>1450000</v>
      </c>
      <c r="U9" s="35">
        <f t="shared" si="1"/>
        <v>11040000</v>
      </c>
      <c r="V9" s="35">
        <f>+ROUND(AVERAGE(J9,L9,M9,N9,P9,R9),2)</f>
        <v>2425287.81</v>
      </c>
      <c r="W9" s="35">
        <f t="shared" si="2"/>
        <v>1937643.91</v>
      </c>
    </row>
    <row r="10" spans="1:23" ht="31.5" customHeight="1" x14ac:dyDescent="0.25">
      <c r="A10" s="19">
        <v>5</v>
      </c>
      <c r="B10" s="8" t="s">
        <v>159</v>
      </c>
      <c r="C10" s="10" t="s">
        <v>160</v>
      </c>
      <c r="D10" s="20">
        <f>'1. Parámetros'!$B$10</f>
        <v>4</v>
      </c>
      <c r="E10" s="21">
        <v>45018607.649999999</v>
      </c>
      <c r="F10" s="20">
        <f>'1. Parámetros'!$B$4</f>
        <v>36</v>
      </c>
      <c r="G10" s="45">
        <f t="shared" si="0"/>
        <v>6482679501.6000004</v>
      </c>
      <c r="H10" s="4" t="s">
        <v>161</v>
      </c>
      <c r="J10" s="38">
        <v>9650307.3200000003</v>
      </c>
      <c r="K10" s="38">
        <v>48455238.359999999</v>
      </c>
      <c r="L10" s="38">
        <v>50122800</v>
      </c>
      <c r="M10" s="38">
        <v>47500000</v>
      </c>
      <c r="N10" s="38">
        <v>51046095.710649997</v>
      </c>
      <c r="O10" s="38">
        <v>42176990.399999999</v>
      </c>
      <c r="P10" s="38">
        <v>83313600</v>
      </c>
      <c r="Q10" s="38">
        <v>18600000</v>
      </c>
      <c r="R10" s="38">
        <v>4053000</v>
      </c>
      <c r="S10" s="40"/>
      <c r="T10" s="35">
        <f>+MIN(K10,L10,M10,N10,O10)</f>
        <v>42176990.399999999</v>
      </c>
      <c r="U10" s="35">
        <f t="shared" si="1"/>
        <v>83313600</v>
      </c>
      <c r="V10" s="35">
        <f>+ROUND(AVERAGE(K10,L10,M10,N10,O10),2)</f>
        <v>47860224.890000001</v>
      </c>
      <c r="W10" s="35">
        <f t="shared" si="2"/>
        <v>45018607.649999999</v>
      </c>
    </row>
    <row r="11" spans="1:23" ht="31.5" customHeight="1" x14ac:dyDescent="0.25">
      <c r="A11" s="19">
        <v>6</v>
      </c>
      <c r="B11" s="8" t="s">
        <v>162</v>
      </c>
      <c r="C11" s="10" t="s">
        <v>160</v>
      </c>
      <c r="D11" s="20">
        <f>'1. Parámetros'!$B$11</f>
        <v>4</v>
      </c>
      <c r="E11" s="21">
        <v>1991373.19</v>
      </c>
      <c r="F11" s="20">
        <f>'1. Parámetros'!$B$4</f>
        <v>36</v>
      </c>
      <c r="G11" s="45">
        <f t="shared" si="0"/>
        <v>286757739.36000001</v>
      </c>
      <c r="H11" s="4" t="s">
        <v>163</v>
      </c>
      <c r="J11" s="38">
        <v>1447546.09</v>
      </c>
      <c r="K11" s="38">
        <v>12113809.59</v>
      </c>
      <c r="L11" s="38">
        <v>16707600</v>
      </c>
      <c r="M11" s="38">
        <v>3800000</v>
      </c>
      <c r="N11" s="38">
        <v>4125494.5631999997</v>
      </c>
      <c r="O11" s="38">
        <v>1870937.6</v>
      </c>
      <c r="P11" s="38">
        <v>6800000.0000000009</v>
      </c>
      <c r="Q11" s="38">
        <v>2520000</v>
      </c>
      <c r="R11" s="38">
        <v>1447500</v>
      </c>
      <c r="S11" s="40"/>
      <c r="T11" s="35">
        <f t="shared" ref="T11" si="3">+MIN(J11:R11)</f>
        <v>1447500</v>
      </c>
      <c r="U11" s="35">
        <f t="shared" si="1"/>
        <v>16707600</v>
      </c>
      <c r="V11" s="35">
        <f>+ROUND(AVERAGE(J11,M11,N11,O11,Q11,R11),2)</f>
        <v>2535246.38</v>
      </c>
      <c r="W11" s="35">
        <f t="shared" si="2"/>
        <v>1991373.19</v>
      </c>
    </row>
    <row r="12" spans="1:23" x14ac:dyDescent="0.25">
      <c r="A12" s="52" t="s">
        <v>164</v>
      </c>
      <c r="B12" s="52"/>
      <c r="C12" s="52"/>
      <c r="D12" s="52"/>
      <c r="E12" s="52"/>
      <c r="F12" s="52"/>
      <c r="G12" s="46">
        <f>SUM(G6:G11)</f>
        <v>111561764573.52</v>
      </c>
      <c r="H12" s="23"/>
      <c r="J12" s="77"/>
      <c r="K12" s="77"/>
      <c r="L12" s="77"/>
      <c r="M12" s="77"/>
      <c r="N12" s="77"/>
      <c r="O12" s="77"/>
      <c r="P12" s="77"/>
      <c r="Q12" s="77"/>
      <c r="R12" s="77"/>
      <c r="S12" s="40"/>
      <c r="T12" s="76"/>
      <c r="U12" s="76"/>
      <c r="V12" s="76"/>
      <c r="W12" s="76"/>
    </row>
    <row r="13" spans="1:23" x14ac:dyDescent="0.25">
      <c r="J13" s="77"/>
      <c r="K13" s="77"/>
      <c r="L13" s="77"/>
      <c r="M13" s="77"/>
      <c r="N13" s="77"/>
      <c r="O13" s="77"/>
      <c r="P13" s="77"/>
      <c r="Q13" s="77"/>
      <c r="R13" s="77"/>
      <c r="S13" s="40"/>
      <c r="T13" s="76"/>
      <c r="U13" s="76"/>
      <c r="V13" s="76"/>
      <c r="W13" s="76"/>
    </row>
    <row r="14" spans="1:23" ht="15" customHeight="1" x14ac:dyDescent="0.25">
      <c r="A14" s="56" t="s">
        <v>165</v>
      </c>
      <c r="B14" s="56"/>
      <c r="C14" s="56"/>
      <c r="D14" s="56"/>
      <c r="E14" s="56"/>
      <c r="F14" s="56"/>
      <c r="G14" s="56"/>
      <c r="H14" s="56"/>
      <c r="J14" s="77"/>
      <c r="K14" s="77"/>
      <c r="L14" s="77"/>
      <c r="M14" s="77"/>
      <c r="N14" s="77"/>
      <c r="O14" s="77"/>
      <c r="P14" s="77"/>
      <c r="Q14" s="77"/>
      <c r="R14" s="77"/>
      <c r="S14" s="40"/>
      <c r="T14" s="76"/>
      <c r="U14" s="76"/>
      <c r="V14" s="76"/>
      <c r="W14" s="76"/>
    </row>
    <row r="15" spans="1:23" ht="31.5" customHeight="1" x14ac:dyDescent="0.25">
      <c r="A15" s="19">
        <v>1</v>
      </c>
      <c r="B15" s="8" t="s">
        <v>166</v>
      </c>
      <c r="C15" s="10" t="s">
        <v>167</v>
      </c>
      <c r="D15" s="9">
        <v>20</v>
      </c>
      <c r="E15" s="21">
        <v>9451946.4900000002</v>
      </c>
      <c r="F15" s="9">
        <v>1</v>
      </c>
      <c r="G15" s="44">
        <f>ROUND(D15*E15*F15,2)</f>
        <v>189038929.80000001</v>
      </c>
      <c r="H15" s="4" t="s">
        <v>168</v>
      </c>
      <c r="J15" s="38">
        <v>18094326.23</v>
      </c>
      <c r="K15" s="38">
        <v>15126360.91</v>
      </c>
      <c r="L15" s="38">
        <v>39680550</v>
      </c>
      <c r="M15" s="38">
        <v>7500000</v>
      </c>
      <c r="N15" s="38">
        <v>8134909.8480000002</v>
      </c>
      <c r="O15" s="38">
        <v>15662080</v>
      </c>
      <c r="P15" s="38">
        <v>13940000.000000002</v>
      </c>
      <c r="Q15" s="38">
        <v>10200000</v>
      </c>
      <c r="R15" s="38">
        <v>9263900</v>
      </c>
      <c r="S15" s="40"/>
      <c r="T15" s="35">
        <f t="shared" ref="T15:T20" si="4">+MIN(J15:R15)</f>
        <v>7500000</v>
      </c>
      <c r="U15" s="35">
        <f t="shared" ref="U15:U20" si="5">+MAX(J15:R15)</f>
        <v>39680550</v>
      </c>
      <c r="V15" s="35">
        <f>+ROUND(AVERAGE(K15,M15,N15,O15,P15,Q15,R15),2)</f>
        <v>11403892.970000001</v>
      </c>
      <c r="W15" s="35">
        <f t="shared" ref="W15:W20" si="6">+ROUND(AVERAGE(V15,T15),2)</f>
        <v>9451946.4900000002</v>
      </c>
    </row>
    <row r="16" spans="1:23" ht="31.5" customHeight="1" x14ac:dyDescent="0.25">
      <c r="A16" s="19">
        <v>2</v>
      </c>
      <c r="B16" s="8" t="s">
        <v>169</v>
      </c>
      <c r="C16" s="10" t="s">
        <v>170</v>
      </c>
      <c r="D16" s="9">
        <v>20</v>
      </c>
      <c r="E16" s="21">
        <v>1594331.28</v>
      </c>
      <c r="F16" s="9">
        <v>36</v>
      </c>
      <c r="G16" s="22">
        <f t="shared" ref="G16:G20" si="7">D16*E16*F16</f>
        <v>1147918521.6000001</v>
      </c>
      <c r="H16" s="4" t="s">
        <v>171</v>
      </c>
      <c r="J16" s="38">
        <v>1447546.09</v>
      </c>
      <c r="K16" s="38">
        <v>5245790</v>
      </c>
      <c r="L16" s="38">
        <v>2436525</v>
      </c>
      <c r="M16" s="38">
        <v>1265000</v>
      </c>
      <c r="N16" s="38">
        <v>1398666.7309999999</v>
      </c>
      <c r="O16" s="38">
        <v>2736000</v>
      </c>
      <c r="P16" s="38">
        <v>2271200</v>
      </c>
      <c r="Q16" s="38">
        <v>4200000</v>
      </c>
      <c r="R16" s="38">
        <v>1910700</v>
      </c>
      <c r="S16" s="40"/>
      <c r="T16" s="35">
        <f t="shared" si="4"/>
        <v>1265000</v>
      </c>
      <c r="U16" s="35">
        <f t="shared" si="5"/>
        <v>5245790</v>
      </c>
      <c r="V16" s="35">
        <f>+ROUND(AVERAGE(J16,L16,M16,N16,O16,P16,R16),2)</f>
        <v>1923662.55</v>
      </c>
      <c r="W16" s="35">
        <f t="shared" si="6"/>
        <v>1594331.28</v>
      </c>
    </row>
    <row r="17" spans="1:23" ht="31.5" customHeight="1" x14ac:dyDescent="0.25">
      <c r="A17" s="19">
        <v>3</v>
      </c>
      <c r="B17" s="8" t="s">
        <v>172</v>
      </c>
      <c r="C17" s="10" t="s">
        <v>173</v>
      </c>
      <c r="D17" s="9">
        <v>1</v>
      </c>
      <c r="E17" s="21">
        <v>25281754.300000001</v>
      </c>
      <c r="F17" s="9">
        <v>1</v>
      </c>
      <c r="G17" s="22">
        <f t="shared" si="7"/>
        <v>25281754.300000001</v>
      </c>
      <c r="H17" s="4" t="s">
        <v>174</v>
      </c>
      <c r="J17" s="38">
        <v>30157210.390000001</v>
      </c>
      <c r="K17" s="38">
        <v>32303492.239999998</v>
      </c>
      <c r="L17" s="38">
        <v>80753400</v>
      </c>
      <c r="M17" s="38">
        <v>24500000</v>
      </c>
      <c r="N17" s="38">
        <v>28288840.352500003</v>
      </c>
      <c r="O17" s="38">
        <v>45235200</v>
      </c>
      <c r="P17" s="38">
        <v>49640000</v>
      </c>
      <c r="Q17" s="38">
        <v>144000000</v>
      </c>
      <c r="R17" s="38">
        <v>22928000</v>
      </c>
      <c r="S17" s="40"/>
      <c r="T17" s="35">
        <f>+MIN(J17:R17)</f>
        <v>22928000</v>
      </c>
      <c r="U17" s="35">
        <f t="shared" si="5"/>
        <v>144000000</v>
      </c>
      <c r="V17" s="35">
        <f>+ROUND(AVERAGE(J17,K17,M17,N17,R17),2)</f>
        <v>27635508.600000001</v>
      </c>
      <c r="W17" s="35">
        <f t="shared" si="6"/>
        <v>25281754.300000001</v>
      </c>
    </row>
    <row r="18" spans="1:23" ht="31.5" customHeight="1" x14ac:dyDescent="0.25">
      <c r="A18" s="19">
        <v>4</v>
      </c>
      <c r="B18" s="8" t="s">
        <v>175</v>
      </c>
      <c r="C18" s="10" t="s">
        <v>176</v>
      </c>
      <c r="D18" s="9">
        <v>1</v>
      </c>
      <c r="E18" s="21">
        <v>52897978.539999999</v>
      </c>
      <c r="F18" s="9">
        <v>36</v>
      </c>
      <c r="G18" s="22">
        <f t="shared" si="7"/>
        <v>1904327227.4400001</v>
      </c>
      <c r="H18" s="4" t="s">
        <v>177</v>
      </c>
      <c r="J18" s="38">
        <v>72377304.930000007</v>
      </c>
      <c r="K18" s="38">
        <v>10094841.33</v>
      </c>
      <c r="L18" s="38">
        <v>58476600</v>
      </c>
      <c r="M18" s="38">
        <v>45500000</v>
      </c>
      <c r="N18" s="38">
        <v>53300813.747999996</v>
      </c>
      <c r="O18" s="38">
        <v>71825066.666666657</v>
      </c>
      <c r="P18" s="38">
        <v>89896000</v>
      </c>
      <c r="Q18" s="38">
        <v>18000000</v>
      </c>
      <c r="R18" s="38">
        <v>9263900</v>
      </c>
      <c r="S18" s="40"/>
      <c r="T18" s="35">
        <f>+MIN(J18,L18,M18,N18,O18,P18)</f>
        <v>45500000</v>
      </c>
      <c r="U18" s="35">
        <f t="shared" si="5"/>
        <v>89896000</v>
      </c>
      <c r="V18" s="35">
        <f>+ROUND(AVERAGE(J18,L18,M18,N18,O18),2)</f>
        <v>60295957.07</v>
      </c>
      <c r="W18" s="35">
        <f t="shared" si="6"/>
        <v>52897978.539999999</v>
      </c>
    </row>
    <row r="19" spans="1:23" ht="31.5" customHeight="1" x14ac:dyDescent="0.25">
      <c r="A19" s="19">
        <v>5</v>
      </c>
      <c r="B19" s="8" t="s">
        <v>178</v>
      </c>
      <c r="C19" s="10" t="s">
        <v>179</v>
      </c>
      <c r="D19" s="9">
        <v>3</v>
      </c>
      <c r="E19" s="21">
        <v>71364184.5</v>
      </c>
      <c r="F19" s="9">
        <v>1</v>
      </c>
      <c r="G19" s="22">
        <f t="shared" si="7"/>
        <v>214092553.5</v>
      </c>
      <c r="H19" s="4" t="s">
        <v>180</v>
      </c>
      <c r="J19" s="38">
        <v>603144207.69000006</v>
      </c>
      <c r="K19" s="38">
        <v>201896826.50999999</v>
      </c>
      <c r="L19" s="38">
        <v>334152000</v>
      </c>
      <c r="M19" s="38">
        <v>45000000</v>
      </c>
      <c r="N19" s="38">
        <v>47549538</v>
      </c>
      <c r="O19" s="38">
        <v>114000000</v>
      </c>
      <c r="P19" s="38">
        <v>78907200</v>
      </c>
      <c r="Q19" s="38">
        <v>252000000</v>
      </c>
      <c r="R19" s="38">
        <v>578988500</v>
      </c>
      <c r="S19" s="40"/>
      <c r="T19" s="35">
        <f t="shared" si="4"/>
        <v>45000000</v>
      </c>
      <c r="U19" s="35">
        <f t="shared" si="5"/>
        <v>603144207.69000006</v>
      </c>
      <c r="V19" s="35">
        <f>+ROUND(AVERAGE(M19,N19,O19,P19),2)</f>
        <v>71364184.5</v>
      </c>
      <c r="W19" s="35">
        <f t="shared" si="6"/>
        <v>58182092.25</v>
      </c>
    </row>
    <row r="20" spans="1:23" ht="31.5" customHeight="1" x14ac:dyDescent="0.25">
      <c r="A20" s="19">
        <v>6</v>
      </c>
      <c r="B20" s="8" t="s">
        <v>181</v>
      </c>
      <c r="C20" s="10" t="s">
        <v>182</v>
      </c>
      <c r="D20" s="9">
        <v>12</v>
      </c>
      <c r="E20" s="21">
        <v>13741773.640000001</v>
      </c>
      <c r="F20" s="9">
        <v>1</v>
      </c>
      <c r="G20" s="22">
        <f t="shared" si="7"/>
        <v>164901283.68000001</v>
      </c>
      <c r="H20" s="4" t="s">
        <v>183</v>
      </c>
      <c r="J20" s="38">
        <v>18094326.23</v>
      </c>
      <c r="K20" s="38">
        <v>14132777.859999999</v>
      </c>
      <c r="L20" s="38">
        <v>17403750</v>
      </c>
      <c r="M20" s="38">
        <v>11500000</v>
      </c>
      <c r="N20" s="38">
        <v>12061176.850499999</v>
      </c>
      <c r="O20" s="38">
        <v>19000000</v>
      </c>
      <c r="P20" s="38">
        <v>19692800</v>
      </c>
      <c r="Q20" s="38">
        <v>30000000</v>
      </c>
      <c r="R20" s="38">
        <v>28949500</v>
      </c>
      <c r="S20" s="40"/>
      <c r="T20" s="35">
        <f t="shared" si="4"/>
        <v>11500000</v>
      </c>
      <c r="U20" s="35">
        <f t="shared" si="5"/>
        <v>30000000</v>
      </c>
      <c r="V20" s="35">
        <f>+ROUND(AVERAGE(J20,K20,L20,M20,N20,O20,P20),2)</f>
        <v>15983547.279999999</v>
      </c>
      <c r="W20" s="35">
        <f t="shared" si="6"/>
        <v>13741773.640000001</v>
      </c>
    </row>
    <row r="21" spans="1:23" x14ac:dyDescent="0.25">
      <c r="A21" s="52" t="s">
        <v>184</v>
      </c>
      <c r="B21" s="52"/>
      <c r="C21" s="52"/>
      <c r="D21" s="52"/>
      <c r="E21" s="52"/>
      <c r="F21" s="52"/>
      <c r="G21" s="46">
        <f>SUM(G15:G20)</f>
        <v>3645560270.3200002</v>
      </c>
      <c r="H21" s="23"/>
    </row>
    <row r="23" spans="1:23" ht="30" customHeight="1" x14ac:dyDescent="0.25">
      <c r="A23" s="53" t="s">
        <v>185</v>
      </c>
      <c r="B23" s="53"/>
      <c r="C23" s="53"/>
      <c r="D23" s="53"/>
      <c r="E23" s="53"/>
      <c r="F23" s="53"/>
      <c r="G23" s="48">
        <f>G12+G21</f>
        <v>115207324843.84001</v>
      </c>
      <c r="H23" s="24"/>
    </row>
    <row r="25" spans="1:23" x14ac:dyDescent="0.25">
      <c r="G25" s="39"/>
    </row>
  </sheetData>
  <mergeCells count="7">
    <mergeCell ref="A21:F21"/>
    <mergeCell ref="A23:F23"/>
    <mergeCell ref="A1:H1"/>
    <mergeCell ref="A2:H2"/>
    <mergeCell ref="A5:H5"/>
    <mergeCell ref="A12:F12"/>
    <mergeCell ref="A14:H1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W32"/>
  <sheetViews>
    <sheetView topLeftCell="H12" zoomScaleNormal="100" workbookViewId="0">
      <selection activeCell="J15" sqref="J15:W27"/>
    </sheetView>
  </sheetViews>
  <sheetFormatPr baseColWidth="10" defaultColWidth="8.42578125" defaultRowHeight="15" x14ac:dyDescent="0.25"/>
  <cols>
    <col min="1" max="1" width="6" customWidth="1"/>
    <col min="2" max="2" width="46" customWidth="1"/>
    <col min="3" max="3" width="16" customWidth="1"/>
    <col min="4" max="4" width="10" customWidth="1"/>
    <col min="5" max="5" width="20" customWidth="1"/>
    <col min="6" max="6" width="8" customWidth="1"/>
    <col min="7" max="7" width="25.42578125" bestFit="1" customWidth="1"/>
    <col min="8" max="8" width="30" customWidth="1"/>
    <col min="9" max="9" width="3.7109375" customWidth="1"/>
    <col min="10" max="10" width="17.7109375" customWidth="1"/>
    <col min="11" max="11" width="22.85546875" customWidth="1"/>
    <col min="12" max="18" width="17.7109375" customWidth="1"/>
    <col min="20" max="23" width="16.5703125" customWidth="1"/>
  </cols>
  <sheetData>
    <row r="1" spans="1:23" ht="30" customHeight="1" x14ac:dyDescent="0.25">
      <c r="A1" s="54" t="s">
        <v>186</v>
      </c>
      <c r="B1" s="54"/>
      <c r="C1" s="54"/>
      <c r="D1" s="54"/>
      <c r="E1" s="54"/>
      <c r="F1" s="54"/>
      <c r="G1" s="54"/>
      <c r="H1" s="54"/>
    </row>
    <row r="2" spans="1:23" ht="15" customHeight="1" x14ac:dyDescent="0.25">
      <c r="A2" s="55" t="s">
        <v>187</v>
      </c>
      <c r="B2" s="55"/>
      <c r="C2" s="55"/>
      <c r="D2" s="55"/>
      <c r="E2" s="55"/>
      <c r="F2" s="55"/>
      <c r="G2" s="55"/>
      <c r="H2" s="55"/>
    </row>
    <row r="4" spans="1:23" ht="37.5" customHeight="1" x14ac:dyDescent="0.25">
      <c r="A4" s="1" t="s">
        <v>3</v>
      </c>
      <c r="B4" s="1" t="s">
        <v>143</v>
      </c>
      <c r="C4" s="1" t="s">
        <v>42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J4" s="27" t="s">
        <v>403</v>
      </c>
      <c r="K4" s="27" t="s">
        <v>404</v>
      </c>
      <c r="L4" s="27" t="s">
        <v>405</v>
      </c>
      <c r="M4" s="27" t="s">
        <v>406</v>
      </c>
      <c r="N4" s="27" t="s">
        <v>407</v>
      </c>
      <c r="O4" s="27" t="s">
        <v>408</v>
      </c>
      <c r="P4" s="27" t="s">
        <v>409</v>
      </c>
      <c r="Q4" s="27" t="s">
        <v>410</v>
      </c>
      <c r="R4" s="27" t="s">
        <v>411</v>
      </c>
      <c r="T4" s="27" t="s">
        <v>414</v>
      </c>
      <c r="U4" s="27" t="s">
        <v>415</v>
      </c>
      <c r="V4" s="27" t="s">
        <v>412</v>
      </c>
      <c r="W4" s="27" t="s">
        <v>413</v>
      </c>
    </row>
    <row r="5" spans="1:23" ht="15" customHeight="1" x14ac:dyDescent="0.25">
      <c r="A5" s="56" t="s">
        <v>188</v>
      </c>
      <c r="B5" s="56"/>
      <c r="C5" s="56"/>
      <c r="D5" s="56"/>
      <c r="E5" s="56"/>
      <c r="F5" s="56"/>
      <c r="G5" s="56"/>
      <c r="H5" s="56"/>
    </row>
    <row r="6" spans="1:23" ht="31.5" customHeight="1" x14ac:dyDescent="0.25">
      <c r="A6" s="19">
        <v>1</v>
      </c>
      <c r="B6" s="8" t="s">
        <v>189</v>
      </c>
      <c r="C6" s="10" t="s">
        <v>190</v>
      </c>
      <c r="D6" s="20">
        <f>'1. Parámetros'!$B$12</f>
        <v>30000</v>
      </c>
      <c r="E6" s="21">
        <v>32867.370000000003</v>
      </c>
      <c r="F6" s="20">
        <f>'1. Parámetros'!$B$4</f>
        <v>36</v>
      </c>
      <c r="G6" s="45">
        <f>ROUND(D6*E6*F6,2)</f>
        <v>35496759600</v>
      </c>
      <c r="H6" s="4" t="s">
        <v>191</v>
      </c>
      <c r="J6" s="28">
        <v>50664.11</v>
      </c>
      <c r="K6" s="28">
        <v>39916.296000000002</v>
      </c>
      <c r="L6" s="28">
        <v>42613.220635781239</v>
      </c>
      <c r="M6" s="28">
        <v>45000</v>
      </c>
      <c r="N6" s="33">
        <v>55429.444499999998</v>
      </c>
      <c r="O6" s="28">
        <v>25080</v>
      </c>
      <c r="P6" s="33">
        <v>65000</v>
      </c>
      <c r="Q6" s="33">
        <v>10200</v>
      </c>
      <c r="R6" s="33">
        <v>9300</v>
      </c>
      <c r="T6" s="32">
        <f>+MIN(J6,K6,L6,M6,O6)</f>
        <v>25080</v>
      </c>
      <c r="U6" s="32">
        <f>+MAX(J6:R6)</f>
        <v>65000</v>
      </c>
      <c r="V6" s="35">
        <f>+ROUND(AVERAGE(J6,K6,L6,M6,O6),2)</f>
        <v>40654.730000000003</v>
      </c>
      <c r="W6" s="34">
        <f>+ROUND(AVERAGE(T6,V6),2)</f>
        <v>32867.370000000003</v>
      </c>
    </row>
    <row r="7" spans="1:23" ht="31.5" customHeight="1" x14ac:dyDescent="0.25">
      <c r="A7" s="19">
        <v>2</v>
      </c>
      <c r="B7" s="8" t="s">
        <v>192</v>
      </c>
      <c r="C7" s="10" t="s">
        <v>193</v>
      </c>
      <c r="D7" s="20">
        <f>'1. Parámetros'!$B$13</f>
        <v>26000</v>
      </c>
      <c r="E7" s="21">
        <v>15820.74</v>
      </c>
      <c r="F7" s="20">
        <f>'1. Parámetros'!$B$4</f>
        <v>36</v>
      </c>
      <c r="G7" s="45">
        <f t="shared" ref="G7:G11" si="0">ROUND(D7*E7*F7,2)</f>
        <v>14808212640</v>
      </c>
      <c r="H7" s="4" t="s">
        <v>194</v>
      </c>
      <c r="J7" s="33">
        <v>31363.5</v>
      </c>
      <c r="K7" s="28">
        <v>12039.912</v>
      </c>
      <c r="L7" s="28">
        <v>7349.6999854687492</v>
      </c>
      <c r="M7" s="28">
        <v>29500</v>
      </c>
      <c r="N7" s="33">
        <v>35393</v>
      </c>
      <c r="O7" s="28">
        <v>17480</v>
      </c>
      <c r="P7" s="33">
        <v>54400.000000000007</v>
      </c>
      <c r="Q7" s="28">
        <v>25200</v>
      </c>
      <c r="R7" s="33">
        <v>5900</v>
      </c>
      <c r="T7" s="32">
        <f>+MIN(K7,L7,M7,O7,Q7)</f>
        <v>7349.6999854687492</v>
      </c>
      <c r="U7" s="32">
        <f t="shared" ref="U7:U27" si="1">+MAX(J7:R7)</f>
        <v>54400.000000000007</v>
      </c>
      <c r="V7" s="35">
        <f t="shared" ref="V7" si="2">+ROUND(AVERAGE(J7,K7,L7,M7,N7,O7,P7,Q7,R7),2)</f>
        <v>24291.79</v>
      </c>
      <c r="W7" s="34">
        <f t="shared" ref="W7:W27" si="3">+ROUND(AVERAGE(T7,V7),2)</f>
        <v>15820.74</v>
      </c>
    </row>
    <row r="8" spans="1:23" ht="31.5" customHeight="1" x14ac:dyDescent="0.25">
      <c r="A8" s="19">
        <v>3</v>
      </c>
      <c r="B8" s="8" t="s">
        <v>195</v>
      </c>
      <c r="C8" s="10" t="s">
        <v>196</v>
      </c>
      <c r="D8" s="20">
        <f>'1. Parámetros'!$B$14</f>
        <v>500</v>
      </c>
      <c r="E8" s="21">
        <v>38664.949999999997</v>
      </c>
      <c r="F8" s="20">
        <f>'1. Parámetros'!$B$4</f>
        <v>36</v>
      </c>
      <c r="G8" s="45">
        <f t="shared" si="0"/>
        <v>695969100</v>
      </c>
      <c r="H8" s="4" t="s">
        <v>197</v>
      </c>
      <c r="J8" s="33">
        <v>108565.95</v>
      </c>
      <c r="K8" s="28">
        <v>45149.52</v>
      </c>
      <c r="L8" s="33">
        <v>94210.070879166626</v>
      </c>
      <c r="M8" s="28">
        <v>40000</v>
      </c>
      <c r="N8" s="33">
        <v>85142.591</v>
      </c>
      <c r="O8" s="28">
        <v>30400</v>
      </c>
      <c r="P8" s="28">
        <v>60000</v>
      </c>
      <c r="Q8" s="33">
        <v>156000</v>
      </c>
      <c r="R8" s="28">
        <v>59100</v>
      </c>
      <c r="T8" s="32">
        <f t="shared" ref="T8:T27" si="4">+MIN(J8:R8)</f>
        <v>30400</v>
      </c>
      <c r="U8" s="32">
        <f t="shared" si="1"/>
        <v>156000</v>
      </c>
      <c r="V8" s="35">
        <f>+ROUND(AVERAGE(K8,M8,O8,P8,R8),2)</f>
        <v>46929.9</v>
      </c>
      <c r="W8" s="34">
        <f t="shared" si="3"/>
        <v>38664.949999999997</v>
      </c>
    </row>
    <row r="9" spans="1:23" ht="31.5" customHeight="1" x14ac:dyDescent="0.25">
      <c r="A9" s="19">
        <v>4</v>
      </c>
      <c r="B9" s="8" t="s">
        <v>198</v>
      </c>
      <c r="C9" s="10" t="s">
        <v>199</v>
      </c>
      <c r="D9" s="9">
        <v>1</v>
      </c>
      <c r="E9" s="21">
        <v>172656262.77000001</v>
      </c>
      <c r="F9" s="20">
        <f>'1. Parámetros'!$B$4</f>
        <v>36</v>
      </c>
      <c r="G9" s="45">
        <f t="shared" si="0"/>
        <v>6215625459.7200003</v>
      </c>
      <c r="H9" s="4" t="s">
        <v>200</v>
      </c>
      <c r="J9" s="33">
        <v>422200945.38</v>
      </c>
      <c r="K9" s="28">
        <v>180598065.67199999</v>
      </c>
      <c r="L9" s="33">
        <v>649607594.1468749</v>
      </c>
      <c r="M9" s="28">
        <v>340000000</v>
      </c>
      <c r="N9" s="28">
        <v>364656562</v>
      </c>
      <c r="O9" s="33">
        <v>60800000</v>
      </c>
      <c r="P9" s="33">
        <v>450000000</v>
      </c>
      <c r="Q9" s="28">
        <v>216000000</v>
      </c>
      <c r="R9" s="28">
        <v>104218000</v>
      </c>
      <c r="T9" s="32">
        <f>+MIN(K9,M9,N9,Q9,R9)</f>
        <v>104218000</v>
      </c>
      <c r="U9" s="32">
        <f t="shared" si="1"/>
        <v>649607594.1468749</v>
      </c>
      <c r="V9" s="35">
        <f>+ROUND(AVERAGE(K9,M9,N9,Q9,R9),2)</f>
        <v>241094525.53</v>
      </c>
      <c r="W9" s="34">
        <f t="shared" si="3"/>
        <v>172656262.77000001</v>
      </c>
    </row>
    <row r="10" spans="1:23" ht="31.5" customHeight="1" x14ac:dyDescent="0.25">
      <c r="A10" s="19">
        <v>5</v>
      </c>
      <c r="B10" s="8" t="s">
        <v>201</v>
      </c>
      <c r="C10" s="10" t="s">
        <v>202</v>
      </c>
      <c r="D10" s="20">
        <f>'1. Parámetros'!$B$17</f>
        <v>4</v>
      </c>
      <c r="E10" s="21">
        <v>5312627.6500000004</v>
      </c>
      <c r="F10" s="20">
        <f>'1. Parámetros'!$B$4</f>
        <v>36</v>
      </c>
      <c r="G10" s="45">
        <f t="shared" si="0"/>
        <v>765018381.60000002</v>
      </c>
      <c r="H10" s="4" t="s">
        <v>203</v>
      </c>
      <c r="J10" s="28">
        <v>9650307.3200000003</v>
      </c>
      <c r="K10" s="28">
        <v>3511629.06</v>
      </c>
      <c r="L10" s="33">
        <v>192463747.18593752</v>
      </c>
      <c r="M10" s="28">
        <v>6249000</v>
      </c>
      <c r="N10" s="28">
        <v>7008173.5127999997</v>
      </c>
      <c r="O10" s="28">
        <v>9120000</v>
      </c>
      <c r="P10" s="28">
        <v>8500000</v>
      </c>
      <c r="Q10" s="28">
        <v>6120000</v>
      </c>
      <c r="R10" s="28">
        <v>6749900</v>
      </c>
      <c r="T10" s="32">
        <f t="shared" si="4"/>
        <v>3511629.06</v>
      </c>
      <c r="U10" s="32">
        <f t="shared" si="1"/>
        <v>192463747.18593752</v>
      </c>
      <c r="V10" s="35">
        <f>+ROUND(AVERAGE(J10,K10,M10,N10,O10,P10,Q10,R10),2)</f>
        <v>7113626.2400000002</v>
      </c>
      <c r="W10" s="34">
        <f t="shared" si="3"/>
        <v>5312627.6500000004</v>
      </c>
    </row>
    <row r="11" spans="1:23" ht="31.5" customHeight="1" x14ac:dyDescent="0.25">
      <c r="A11" s="19">
        <v>6</v>
      </c>
      <c r="B11" s="8" t="s">
        <v>204</v>
      </c>
      <c r="C11" s="10" t="s">
        <v>205</v>
      </c>
      <c r="D11" s="9">
        <v>1</v>
      </c>
      <c r="E11" s="21">
        <v>30614254.780000001</v>
      </c>
      <c r="F11" s="20">
        <f>'1. Parámetros'!$B$4</f>
        <v>36</v>
      </c>
      <c r="G11" s="45">
        <f t="shared" si="0"/>
        <v>1102113172.0799999</v>
      </c>
      <c r="H11" s="4" t="s">
        <v>206</v>
      </c>
      <c r="J11" s="28">
        <v>48251536.609999999</v>
      </c>
      <c r="K11" s="28">
        <v>5016612.9359999998</v>
      </c>
      <c r="L11" s="28">
        <v>85073479.115624979</v>
      </c>
      <c r="M11" s="33">
        <v>125000000</v>
      </c>
      <c r="N11" s="33">
        <v>142078927.04999998</v>
      </c>
      <c r="O11" s="28">
        <v>6080000</v>
      </c>
      <c r="P11" s="33">
        <v>170000000</v>
      </c>
      <c r="Q11" s="28">
        <v>30000000</v>
      </c>
      <c r="R11" s="28">
        <v>9263900</v>
      </c>
      <c r="T11" s="32">
        <f t="shared" si="4"/>
        <v>5016612.9359999998</v>
      </c>
      <c r="U11" s="32">
        <f t="shared" si="1"/>
        <v>170000000</v>
      </c>
      <c r="V11" s="34">
        <f>+ROUND(AVERAGE(J11,K11,L11,O11,Q11,R11),2)</f>
        <v>30614254.780000001</v>
      </c>
      <c r="W11" s="32">
        <f t="shared" si="3"/>
        <v>17815433.859999999</v>
      </c>
    </row>
    <row r="12" spans="1:23" x14ac:dyDescent="0.25">
      <c r="A12" s="52" t="s">
        <v>207</v>
      </c>
      <c r="B12" s="52"/>
      <c r="C12" s="52"/>
      <c r="D12" s="52"/>
      <c r="E12" s="52"/>
      <c r="F12" s="52"/>
      <c r="G12" s="46">
        <f>SUM(G6:G11)</f>
        <v>59083698353.400002</v>
      </c>
      <c r="H12" s="23"/>
      <c r="J12" s="29"/>
      <c r="K12" s="29"/>
      <c r="L12" s="29"/>
      <c r="M12" s="29"/>
      <c r="N12" s="29"/>
      <c r="O12" s="29"/>
      <c r="P12" s="29"/>
      <c r="Q12" s="29"/>
      <c r="R12" s="29"/>
      <c r="T12" s="31"/>
      <c r="U12" s="31"/>
      <c r="V12" s="31"/>
      <c r="W12" s="31"/>
    </row>
    <row r="13" spans="1:23" x14ac:dyDescent="0.25">
      <c r="J13" s="29"/>
      <c r="K13" s="29"/>
      <c r="L13" s="29"/>
      <c r="M13" s="29"/>
      <c r="N13" s="29"/>
      <c r="O13" s="29"/>
      <c r="P13" s="29"/>
      <c r="Q13" s="29"/>
      <c r="R13" s="29"/>
      <c r="T13" s="31"/>
      <c r="U13" s="31"/>
      <c r="V13" s="31"/>
      <c r="W13" s="31"/>
    </row>
    <row r="14" spans="1:23" ht="15" customHeight="1" x14ac:dyDescent="0.25">
      <c r="A14" s="56" t="s">
        <v>208</v>
      </c>
      <c r="B14" s="56"/>
      <c r="C14" s="56"/>
      <c r="D14" s="56"/>
      <c r="E14" s="56"/>
      <c r="F14" s="56"/>
      <c r="G14" s="56"/>
      <c r="H14" s="56"/>
      <c r="J14" s="29"/>
      <c r="K14" s="29"/>
      <c r="L14" s="29"/>
      <c r="M14" s="29"/>
      <c r="N14" s="29"/>
      <c r="O14" s="29"/>
      <c r="P14" s="29"/>
      <c r="Q14" s="29"/>
      <c r="R14" s="29"/>
      <c r="T14" s="31"/>
      <c r="U14" s="31"/>
      <c r="V14" s="31"/>
      <c r="W14" s="31"/>
    </row>
    <row r="15" spans="1:23" ht="31.5" customHeight="1" x14ac:dyDescent="0.25">
      <c r="A15" s="19">
        <v>1</v>
      </c>
      <c r="B15" s="8" t="s">
        <v>209</v>
      </c>
      <c r="C15" s="10" t="s">
        <v>176</v>
      </c>
      <c r="D15" s="9">
        <v>1</v>
      </c>
      <c r="E15" s="21">
        <v>82508343.5</v>
      </c>
      <c r="F15" s="20">
        <f>'1. Parámetros'!$B$4</f>
        <v>36</v>
      </c>
      <c r="G15" s="45">
        <f>ROUND(D15*E15*F15,2)</f>
        <v>2970300366</v>
      </c>
      <c r="H15" s="4" t="s">
        <v>210</v>
      </c>
      <c r="J15" s="38">
        <v>301572103.83999997</v>
      </c>
      <c r="K15" s="38">
        <v>120398710.45199998</v>
      </c>
      <c r="L15" s="38">
        <v>171989999.99999997</v>
      </c>
      <c r="M15" s="38">
        <v>72500000</v>
      </c>
      <c r="N15" s="38">
        <v>77563211.500000015</v>
      </c>
      <c r="O15" s="38">
        <v>155800000</v>
      </c>
      <c r="P15" s="38">
        <v>90000000</v>
      </c>
      <c r="Q15" s="38">
        <v>102000000</v>
      </c>
      <c r="R15" s="38">
        <v>92638200</v>
      </c>
      <c r="S15" s="40"/>
      <c r="T15" s="35">
        <f t="shared" si="4"/>
        <v>72500000</v>
      </c>
      <c r="U15" s="35">
        <f t="shared" si="1"/>
        <v>301572103.83999997</v>
      </c>
      <c r="V15" s="35">
        <f>+ROUND(AVERAGE(K15,M15,N15,P15,Q15,R15),2)</f>
        <v>92516686.989999995</v>
      </c>
      <c r="W15" s="35">
        <f t="shared" si="3"/>
        <v>82508343.5</v>
      </c>
    </row>
    <row r="16" spans="1:23" ht="31.5" customHeight="1" x14ac:dyDescent="0.25">
      <c r="A16" s="19">
        <v>2</v>
      </c>
      <c r="B16" s="8" t="s">
        <v>211</v>
      </c>
      <c r="C16" s="10" t="s">
        <v>199</v>
      </c>
      <c r="D16" s="9">
        <v>1</v>
      </c>
      <c r="E16" s="21">
        <v>72482251.640000001</v>
      </c>
      <c r="F16" s="20">
        <f>'1. Parámetros'!$B$4</f>
        <v>36</v>
      </c>
      <c r="G16" s="45">
        <f t="shared" ref="G16:G27" si="5">ROUND(D16*E16*F16,2)</f>
        <v>2609361059.04</v>
      </c>
      <c r="H16" s="4" t="s">
        <v>212</v>
      </c>
      <c r="J16" s="38">
        <v>361886524.61000001</v>
      </c>
      <c r="K16" s="38">
        <v>45149516.423999995</v>
      </c>
      <c r="L16" s="38">
        <v>91960555.35398978</v>
      </c>
      <c r="M16" s="38">
        <v>85000000</v>
      </c>
      <c r="N16" s="38">
        <v>92883461.000000015</v>
      </c>
      <c r="O16" s="38">
        <v>62320000</v>
      </c>
      <c r="P16" s="38">
        <v>105000000</v>
      </c>
      <c r="Q16" s="38">
        <v>264000000</v>
      </c>
      <c r="R16" s="38">
        <v>81058500</v>
      </c>
      <c r="S16" s="40"/>
      <c r="T16" s="35">
        <f>+MIN(L16,M16,N16,O16,R16)</f>
        <v>62320000</v>
      </c>
      <c r="U16" s="35">
        <f t="shared" si="1"/>
        <v>361886524.61000001</v>
      </c>
      <c r="V16" s="35">
        <f>+ROUND(AVERAGE(L16,M16,N16,O16,R16),2)</f>
        <v>82644503.269999996</v>
      </c>
      <c r="W16" s="35">
        <f t="shared" si="3"/>
        <v>72482251.640000001</v>
      </c>
    </row>
    <row r="17" spans="1:23" ht="31.5" customHeight="1" x14ac:dyDescent="0.25">
      <c r="A17" s="19">
        <v>3</v>
      </c>
      <c r="B17" s="8" t="s">
        <v>213</v>
      </c>
      <c r="C17" s="10" t="s">
        <v>199</v>
      </c>
      <c r="D17" s="9">
        <v>1</v>
      </c>
      <c r="E17" s="21">
        <v>39662530.619999997</v>
      </c>
      <c r="F17" s="20">
        <f>'1. Parámetros'!$B$4</f>
        <v>36</v>
      </c>
      <c r="G17" s="45">
        <f t="shared" si="5"/>
        <v>1427851102.3199999</v>
      </c>
      <c r="H17" s="4" t="s">
        <v>214</v>
      </c>
      <c r="J17" s="38">
        <v>96503073.230000004</v>
      </c>
      <c r="K17" s="38">
        <v>25083064.679999996</v>
      </c>
      <c r="L17" s="38">
        <v>64887618.120289445</v>
      </c>
      <c r="M17" s="38">
        <v>74500000</v>
      </c>
      <c r="N17" s="38">
        <v>82996926.150000006</v>
      </c>
      <c r="O17" s="38">
        <v>19000000</v>
      </c>
      <c r="P17" s="38">
        <v>95000000</v>
      </c>
      <c r="Q17" s="38">
        <v>72000000</v>
      </c>
      <c r="R17" s="38">
        <v>34739300</v>
      </c>
      <c r="S17" s="40"/>
      <c r="T17" s="35">
        <f>+MIN(K17,L17,M17,Q17,R17)</f>
        <v>25083064.679999996</v>
      </c>
      <c r="U17" s="35">
        <f t="shared" si="1"/>
        <v>96503073.230000004</v>
      </c>
      <c r="V17" s="35">
        <f>+ROUND(AVERAGE(K17,L17,M17,Q17,R17),2)</f>
        <v>54241996.560000002</v>
      </c>
      <c r="W17" s="35">
        <f t="shared" si="3"/>
        <v>39662530.619999997</v>
      </c>
    </row>
    <row r="18" spans="1:23" ht="31.5" customHeight="1" x14ac:dyDescent="0.25">
      <c r="A18" s="19">
        <v>4</v>
      </c>
      <c r="B18" s="8" t="s">
        <v>215</v>
      </c>
      <c r="C18" s="10" t="s">
        <v>176</v>
      </c>
      <c r="D18" s="9">
        <v>1</v>
      </c>
      <c r="E18" s="21">
        <v>35855727.939999998</v>
      </c>
      <c r="F18" s="20">
        <f>'1. Parámetros'!$B$4</f>
        <v>36</v>
      </c>
      <c r="G18" s="45">
        <f t="shared" si="5"/>
        <v>1290806205.8399999</v>
      </c>
      <c r="H18" s="4" t="s">
        <v>216</v>
      </c>
      <c r="J18" s="38">
        <v>72377304.930000007</v>
      </c>
      <c r="K18" s="38">
        <v>18059806.571999997</v>
      </c>
      <c r="L18" s="38">
        <v>110590123.79781842</v>
      </c>
      <c r="M18" s="38">
        <v>57500000</v>
      </c>
      <c r="N18" s="38">
        <v>60497383</v>
      </c>
      <c r="O18" s="38">
        <v>22800000</v>
      </c>
      <c r="P18" s="38">
        <v>74500000</v>
      </c>
      <c r="Q18" s="38">
        <v>54000000</v>
      </c>
      <c r="R18" s="38">
        <v>69478700</v>
      </c>
      <c r="S18" s="40"/>
      <c r="T18" s="35">
        <f t="shared" si="4"/>
        <v>18059806.571999997</v>
      </c>
      <c r="U18" s="35">
        <f>+MAX(J18:R18)</f>
        <v>110590123.79781842</v>
      </c>
      <c r="V18" s="35">
        <f>+ROUND(AVERAGE(J18,K18,M18,N18,O18,P18,Q18,R18),2)</f>
        <v>53651649.310000002</v>
      </c>
      <c r="W18" s="35">
        <f t="shared" si="3"/>
        <v>35855727.939999998</v>
      </c>
    </row>
    <row r="19" spans="1:23" ht="31.5" customHeight="1" x14ac:dyDescent="0.25">
      <c r="A19" s="19">
        <v>5</v>
      </c>
      <c r="B19" s="8" t="s">
        <v>217</v>
      </c>
      <c r="C19" s="10" t="s">
        <v>218</v>
      </c>
      <c r="D19" s="20">
        <f>'1. Parámetros'!$B$15</f>
        <v>1500</v>
      </c>
      <c r="E19" s="21">
        <v>30708.79</v>
      </c>
      <c r="F19" s="20">
        <f>'1. Parámetros'!$B$4</f>
        <v>36</v>
      </c>
      <c r="G19" s="45">
        <f t="shared" si="5"/>
        <v>1658274660</v>
      </c>
      <c r="H19" s="4" t="s">
        <v>219</v>
      </c>
      <c r="J19" s="38">
        <v>30157.21</v>
      </c>
      <c r="K19" s="38">
        <v>25083.06</v>
      </c>
      <c r="L19" s="38">
        <v>6409.8289368749993</v>
      </c>
      <c r="M19" s="38">
        <v>45000</v>
      </c>
      <c r="N19" s="38">
        <v>49926.838499999998</v>
      </c>
      <c r="O19" s="38">
        <v>25840</v>
      </c>
      <c r="P19" s="38">
        <v>61600</v>
      </c>
      <c r="Q19" s="38">
        <v>42000</v>
      </c>
      <c r="R19" s="38">
        <v>11600</v>
      </c>
      <c r="S19" s="40"/>
      <c r="T19" s="35">
        <f>+MIN(J19,K19,N19,M19,O19,Q19)</f>
        <v>25083.06</v>
      </c>
      <c r="U19" s="35">
        <f t="shared" si="1"/>
        <v>61600</v>
      </c>
      <c r="V19" s="35">
        <f>+ROUND(AVERAGE(J19,K19,M19,N19,O19,Q19),2)</f>
        <v>36334.519999999997</v>
      </c>
      <c r="W19" s="35">
        <f t="shared" si="3"/>
        <v>30708.79</v>
      </c>
    </row>
    <row r="20" spans="1:23" ht="31.5" customHeight="1" x14ac:dyDescent="0.25">
      <c r="A20" s="19">
        <v>6</v>
      </c>
      <c r="B20" s="8" t="s">
        <v>220</v>
      </c>
      <c r="C20" s="10" t="s">
        <v>176</v>
      </c>
      <c r="D20" s="9">
        <v>1</v>
      </c>
      <c r="E20" s="21">
        <v>35058424.420000002</v>
      </c>
      <c r="F20" s="20">
        <f>'1. Parámetros'!$B$4</f>
        <v>36</v>
      </c>
      <c r="G20" s="45">
        <f t="shared" si="5"/>
        <v>1262103279.1199999</v>
      </c>
      <c r="H20" s="4" t="s">
        <v>221</v>
      </c>
      <c r="J20" s="38">
        <v>84440189.069999993</v>
      </c>
      <c r="K20" s="38">
        <v>30099677.615999997</v>
      </c>
      <c r="L20" s="38">
        <v>35511017.196484379</v>
      </c>
      <c r="M20" s="38">
        <v>36500000</v>
      </c>
      <c r="N20" s="38">
        <v>39370403.799999997</v>
      </c>
      <c r="O20" s="38">
        <v>43320000</v>
      </c>
      <c r="P20" s="38">
        <v>49000000</v>
      </c>
      <c r="Q20" s="38">
        <v>60000000</v>
      </c>
      <c r="R20" s="38">
        <v>46319100</v>
      </c>
      <c r="S20" s="40"/>
      <c r="T20" s="35">
        <f t="shared" si="4"/>
        <v>30099677.615999997</v>
      </c>
      <c r="U20" s="35">
        <f t="shared" si="1"/>
        <v>84440189.069999993</v>
      </c>
      <c r="V20" s="35">
        <f>+ROUND(AVERAGE(K20,L20,M20,N20,O20,P20,R20),2)</f>
        <v>40017171.229999997</v>
      </c>
      <c r="W20" s="35">
        <f t="shared" si="3"/>
        <v>35058424.420000002</v>
      </c>
    </row>
    <row r="21" spans="1:23" ht="31.5" customHeight="1" x14ac:dyDescent="0.25">
      <c r="A21" s="19">
        <v>7</v>
      </c>
      <c r="B21" s="8" t="s">
        <v>222</v>
      </c>
      <c r="C21" s="10" t="s">
        <v>190</v>
      </c>
      <c r="D21" s="20">
        <f>'1. Parámetros'!$B$12</f>
        <v>30000</v>
      </c>
      <c r="E21" s="21">
        <v>14575.27</v>
      </c>
      <c r="F21" s="20">
        <f>'1. Parámetros'!$B$4</f>
        <v>36</v>
      </c>
      <c r="G21" s="45">
        <f t="shared" si="5"/>
        <v>15741291600</v>
      </c>
      <c r="H21" s="4" t="s">
        <v>223</v>
      </c>
      <c r="J21" s="38">
        <v>7237.74</v>
      </c>
      <c r="K21" s="38">
        <v>20066.448</v>
      </c>
      <c r="L21" s="38">
        <v>63919.830953671873</v>
      </c>
      <c r="M21" s="38">
        <v>85000</v>
      </c>
      <c r="N21" s="38">
        <v>125184.944</v>
      </c>
      <c r="O21" s="38">
        <v>8740</v>
      </c>
      <c r="P21" s="38">
        <v>117000</v>
      </c>
      <c r="Q21" s="38">
        <v>9600</v>
      </c>
      <c r="R21" s="38">
        <v>4600</v>
      </c>
      <c r="S21" s="40"/>
      <c r="T21" s="35">
        <f>+MIN(J21,K21,L21,M21,O21,Q21)</f>
        <v>7237.74</v>
      </c>
      <c r="U21" s="35">
        <f t="shared" si="1"/>
        <v>125184.944</v>
      </c>
      <c r="V21" s="35">
        <f>+ROUND(AVERAGE(J21,K21,L21,O21,Q21),2)</f>
        <v>21912.799999999999</v>
      </c>
      <c r="W21" s="35">
        <f t="shared" si="3"/>
        <v>14575.27</v>
      </c>
    </row>
    <row r="22" spans="1:23" ht="31.5" customHeight="1" x14ac:dyDescent="0.25">
      <c r="A22" s="19">
        <v>8</v>
      </c>
      <c r="B22" s="8" t="s">
        <v>224</v>
      </c>
      <c r="C22" s="10" t="s">
        <v>193</v>
      </c>
      <c r="D22" s="20">
        <f>'1. Parámetros'!$B$13</f>
        <v>26000</v>
      </c>
      <c r="E22" s="21">
        <v>12629.8</v>
      </c>
      <c r="F22" s="20">
        <f>'1. Parámetros'!$B$4</f>
        <v>36</v>
      </c>
      <c r="G22" s="45">
        <f t="shared" si="5"/>
        <v>11821492800</v>
      </c>
      <c r="H22" s="4" t="s">
        <v>225</v>
      </c>
      <c r="J22" s="38">
        <v>10856.59</v>
      </c>
      <c r="K22" s="38">
        <v>15049.836000000001</v>
      </c>
      <c r="L22" s="38">
        <v>16128.614668359374</v>
      </c>
      <c r="M22" s="38">
        <v>65000</v>
      </c>
      <c r="N22" s="38">
        <v>99300.102499999994</v>
      </c>
      <c r="O22" s="38">
        <v>15580</v>
      </c>
      <c r="P22" s="38">
        <v>83000</v>
      </c>
      <c r="Q22" s="38">
        <v>14400</v>
      </c>
      <c r="R22" s="38">
        <v>5900</v>
      </c>
      <c r="S22" s="40"/>
      <c r="T22" s="35">
        <f>+MIN(J22,K22,L22,O22,Q22)</f>
        <v>10856.59</v>
      </c>
      <c r="U22" s="35">
        <f t="shared" si="1"/>
        <v>99300.102499999994</v>
      </c>
      <c r="V22" s="35">
        <f>+ROUND(AVERAGE(J22,K22,L22,O22,Q22),2)</f>
        <v>14403.01</v>
      </c>
      <c r="W22" s="35">
        <f t="shared" si="3"/>
        <v>12629.8</v>
      </c>
    </row>
    <row r="23" spans="1:23" ht="31.5" customHeight="1" x14ac:dyDescent="0.25">
      <c r="A23" s="19">
        <v>9</v>
      </c>
      <c r="B23" s="8" t="s">
        <v>226</v>
      </c>
      <c r="C23" s="10" t="s">
        <v>176</v>
      </c>
      <c r="D23" s="9">
        <v>1</v>
      </c>
      <c r="E23" s="21">
        <v>25121595.25</v>
      </c>
      <c r="F23" s="20">
        <f>'1. Parámetros'!$B$4</f>
        <v>36</v>
      </c>
      <c r="G23" s="45">
        <f t="shared" si="5"/>
        <v>904377429</v>
      </c>
      <c r="H23" s="4" t="s">
        <v>227</v>
      </c>
      <c r="J23" s="38">
        <v>54282978.689999998</v>
      </c>
      <c r="K23" s="38">
        <v>10033225.872</v>
      </c>
      <c r="L23" s="38">
        <v>201111942.22579688</v>
      </c>
      <c r="M23" s="38">
        <v>65500000</v>
      </c>
      <c r="N23" s="38">
        <v>69514147.850000009</v>
      </c>
      <c r="O23" s="38">
        <v>11400000</v>
      </c>
      <c r="P23" s="38">
        <v>89500</v>
      </c>
      <c r="Q23" s="38">
        <v>36000000</v>
      </c>
      <c r="R23" s="38">
        <v>34739400</v>
      </c>
      <c r="S23" s="40"/>
      <c r="T23" s="35">
        <f>+MIN(J23,K23,M23,N23,O23,Q23,R23)</f>
        <v>10033225.872</v>
      </c>
      <c r="U23" s="35">
        <f t="shared" si="1"/>
        <v>201111942.22579688</v>
      </c>
      <c r="V23" s="35">
        <f>+ROUND(AVERAGE(J23,K23,M23,N23,O23,Q23,R23),2)</f>
        <v>40209964.630000003</v>
      </c>
      <c r="W23" s="35">
        <f t="shared" si="3"/>
        <v>25121595.25</v>
      </c>
    </row>
    <row r="24" spans="1:23" ht="31.5" customHeight="1" x14ac:dyDescent="0.25">
      <c r="A24" s="19">
        <v>10</v>
      </c>
      <c r="B24" s="8" t="s">
        <v>228</v>
      </c>
      <c r="C24" s="10" t="s">
        <v>229</v>
      </c>
      <c r="D24" s="20">
        <f>'1. Parámetros'!$B$16</f>
        <v>2000</v>
      </c>
      <c r="E24" s="21">
        <v>11670.71</v>
      </c>
      <c r="F24" s="20">
        <f>'1. Parámetros'!$B$4</f>
        <v>36</v>
      </c>
      <c r="G24" s="45">
        <f t="shared" si="5"/>
        <v>840291120</v>
      </c>
      <c r="H24" s="4" t="s">
        <v>230</v>
      </c>
      <c r="J24" s="38">
        <v>18094.330000000002</v>
      </c>
      <c r="K24" s="38">
        <v>8026.5839999999989</v>
      </c>
      <c r="L24" s="38">
        <v>614.41084249999994</v>
      </c>
      <c r="M24" s="38">
        <v>18000</v>
      </c>
      <c r="N24" s="38">
        <v>19995.7212</v>
      </c>
      <c r="O24" s="38">
        <v>8360</v>
      </c>
      <c r="P24" s="38">
        <v>35000</v>
      </c>
      <c r="Q24" s="38">
        <v>24427.200000000001</v>
      </c>
      <c r="R24" s="38">
        <v>10300</v>
      </c>
      <c r="S24" s="40"/>
      <c r="T24" s="35">
        <f>+MIN(J24,K24,M24,N24,O24,Q24,R24)</f>
        <v>8026.5839999999989</v>
      </c>
      <c r="U24" s="35">
        <f t="shared" si="1"/>
        <v>35000</v>
      </c>
      <c r="V24" s="35">
        <f>+ROUND(AVERAGE(J24,K24,M24,N24,O24,Q24,R24),2)</f>
        <v>15314.83</v>
      </c>
      <c r="W24" s="35">
        <f t="shared" si="3"/>
        <v>11670.71</v>
      </c>
    </row>
    <row r="25" spans="1:23" ht="31.5" customHeight="1" x14ac:dyDescent="0.25">
      <c r="A25" s="19">
        <v>11</v>
      </c>
      <c r="B25" s="8" t="s">
        <v>231</v>
      </c>
      <c r="C25" s="10" t="s">
        <v>176</v>
      </c>
      <c r="D25" s="9">
        <v>1</v>
      </c>
      <c r="E25" s="21">
        <v>12406271.609999999</v>
      </c>
      <c r="F25" s="20">
        <f>'1. Parámetros'!$B$4</f>
        <v>36</v>
      </c>
      <c r="G25" s="45">
        <f t="shared" si="5"/>
        <v>446625777.95999998</v>
      </c>
      <c r="H25" s="4" t="s">
        <v>232</v>
      </c>
      <c r="J25" s="38">
        <v>24125768.309999999</v>
      </c>
      <c r="K25" s="38">
        <v>5016612.9359999998</v>
      </c>
      <c r="L25" s="38">
        <v>52554406.700249992</v>
      </c>
      <c r="M25" s="38">
        <v>24300000</v>
      </c>
      <c r="N25" s="38">
        <v>26645261.039999999</v>
      </c>
      <c r="O25" s="38">
        <v>7600000</v>
      </c>
      <c r="P25" s="38">
        <v>37500000</v>
      </c>
      <c r="Q25" s="38">
        <v>21600000</v>
      </c>
      <c r="R25" s="38">
        <v>11579800</v>
      </c>
      <c r="S25" s="40"/>
      <c r="T25" s="35">
        <f t="shared" si="4"/>
        <v>5016612.9359999998</v>
      </c>
      <c r="U25" s="35">
        <f t="shared" si="1"/>
        <v>52554406.700249992</v>
      </c>
      <c r="V25" s="35">
        <f>+ROUND(AVERAGE(J25,K25,M25,N25,O25,P25,Q25,R25),2)</f>
        <v>19795930.289999999</v>
      </c>
      <c r="W25" s="35">
        <f t="shared" si="3"/>
        <v>12406271.609999999</v>
      </c>
    </row>
    <row r="26" spans="1:23" ht="31.5" customHeight="1" x14ac:dyDescent="0.25">
      <c r="A26" s="36">
        <v>12</v>
      </c>
      <c r="B26" s="37" t="s">
        <v>233</v>
      </c>
      <c r="C26" s="10" t="s">
        <v>176</v>
      </c>
      <c r="D26" s="9">
        <v>1</v>
      </c>
      <c r="E26" s="21">
        <v>26610028.350000001</v>
      </c>
      <c r="F26" s="20">
        <v>36</v>
      </c>
      <c r="G26" s="45">
        <f t="shared" si="5"/>
        <v>957961020.60000002</v>
      </c>
      <c r="H26" s="4" t="s">
        <v>234</v>
      </c>
      <c r="J26" s="38">
        <v>108565957.38</v>
      </c>
      <c r="K26" s="38">
        <v>9197123.7120000012</v>
      </c>
      <c r="L26" s="38">
        <v>11592883.830937497</v>
      </c>
      <c r="M26" s="38">
        <v>190000000</v>
      </c>
      <c r="N26" s="38">
        <v>215000000</v>
      </c>
      <c r="O26" s="38">
        <v>21280000</v>
      </c>
      <c r="P26" s="38">
        <v>245000000</v>
      </c>
      <c r="Q26" s="38">
        <v>180000000</v>
      </c>
      <c r="R26" s="38">
        <v>69478700</v>
      </c>
      <c r="S26" s="40"/>
      <c r="T26" s="35">
        <f t="shared" si="4"/>
        <v>9197123.7120000012</v>
      </c>
      <c r="U26" s="35">
        <f t="shared" si="1"/>
        <v>245000000</v>
      </c>
      <c r="V26" s="35">
        <f>+ROUND(AVERAGE(J26,K26,L26,O26,R26),2)</f>
        <v>44022932.979999997</v>
      </c>
      <c r="W26" s="35">
        <f t="shared" si="3"/>
        <v>26610028.350000001</v>
      </c>
    </row>
    <row r="27" spans="1:23" ht="31.5" customHeight="1" x14ac:dyDescent="0.25">
      <c r="A27" s="19">
        <v>13</v>
      </c>
      <c r="B27" s="8" t="s">
        <v>235</v>
      </c>
      <c r="C27" s="10" t="s">
        <v>236</v>
      </c>
      <c r="D27" s="20">
        <f>'1. Parámetros'!$B$26</f>
        <v>6</v>
      </c>
      <c r="E27" s="21">
        <v>36239212.090000004</v>
      </c>
      <c r="F27" s="9">
        <v>1</v>
      </c>
      <c r="G27" s="45">
        <f t="shared" si="5"/>
        <v>217435272.53999999</v>
      </c>
      <c r="H27" s="4" t="s">
        <v>237</v>
      </c>
      <c r="J27" s="38">
        <v>217131914.77000001</v>
      </c>
      <c r="K27" s="38">
        <v>80265806.964000002</v>
      </c>
      <c r="L27" s="38"/>
      <c r="M27" s="38">
        <v>32740000</v>
      </c>
      <c r="N27" s="38">
        <v>36186313.894000001</v>
      </c>
      <c r="O27" s="38">
        <v>26600000</v>
      </c>
      <c r="P27" s="38">
        <v>53600000</v>
      </c>
      <c r="Q27" s="38">
        <v>222000000</v>
      </c>
      <c r="R27" s="38">
        <v>138957300</v>
      </c>
      <c r="S27" s="40"/>
      <c r="T27" s="35">
        <f t="shared" si="4"/>
        <v>26600000</v>
      </c>
      <c r="U27" s="35">
        <f t="shared" si="1"/>
        <v>222000000</v>
      </c>
      <c r="V27" s="35">
        <f>+ROUND(AVERAGE(K27,M27,N27,O27,P27),2)</f>
        <v>45878424.170000002</v>
      </c>
      <c r="W27" s="35">
        <f t="shared" si="3"/>
        <v>36239212.090000004</v>
      </c>
    </row>
    <row r="28" spans="1:23" x14ac:dyDescent="0.25">
      <c r="A28" s="52" t="s">
        <v>238</v>
      </c>
      <c r="B28" s="52"/>
      <c r="C28" s="52"/>
      <c r="D28" s="52"/>
      <c r="E28" s="52"/>
      <c r="F28" s="52"/>
      <c r="G28" s="46">
        <f>SUM(G15:G27)</f>
        <v>42148171692.419998</v>
      </c>
      <c r="H28" s="23"/>
    </row>
    <row r="30" spans="1:23" ht="30" customHeight="1" x14ac:dyDescent="0.25">
      <c r="A30" s="53" t="s">
        <v>239</v>
      </c>
      <c r="B30" s="53"/>
      <c r="C30" s="53"/>
      <c r="D30" s="53"/>
      <c r="E30" s="53"/>
      <c r="F30" s="53"/>
      <c r="G30" s="48">
        <f>G12+G28</f>
        <v>101231870045.82001</v>
      </c>
      <c r="H30" s="24"/>
    </row>
    <row r="32" spans="1:23" x14ac:dyDescent="0.25">
      <c r="G32" s="39"/>
    </row>
  </sheetData>
  <mergeCells count="7">
    <mergeCell ref="A28:F28"/>
    <mergeCell ref="A30:F30"/>
    <mergeCell ref="A1:H1"/>
    <mergeCell ref="A2:H2"/>
    <mergeCell ref="A5:H5"/>
    <mergeCell ref="A12:F12"/>
    <mergeCell ref="A14:H1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W22"/>
  <sheetViews>
    <sheetView topLeftCell="I4" zoomScaleNormal="100" workbookViewId="0">
      <selection activeCell="J6" sqref="J6:W19"/>
    </sheetView>
  </sheetViews>
  <sheetFormatPr baseColWidth="10" defaultColWidth="8.42578125" defaultRowHeight="15" x14ac:dyDescent="0.25"/>
  <cols>
    <col min="1" max="1" width="6" customWidth="1"/>
    <col min="2" max="2" width="46" customWidth="1"/>
    <col min="3" max="3" width="16" customWidth="1"/>
    <col min="4" max="4" width="10" customWidth="1"/>
    <col min="5" max="5" width="20" customWidth="1"/>
    <col min="6" max="6" width="8" customWidth="1"/>
    <col min="7" max="7" width="24.140625" bestFit="1" customWidth="1"/>
    <col min="8" max="8" width="30" customWidth="1"/>
    <col min="9" max="9" width="3.140625" customWidth="1"/>
    <col min="10" max="10" width="17.28515625" customWidth="1"/>
    <col min="11" max="11" width="22.42578125" customWidth="1"/>
    <col min="12" max="18" width="17.28515625" customWidth="1"/>
    <col min="19" max="19" width="2.7109375" customWidth="1"/>
    <col min="20" max="23" width="17" customWidth="1"/>
  </cols>
  <sheetData>
    <row r="1" spans="1:23" ht="30" customHeight="1" x14ac:dyDescent="0.25">
      <c r="A1" s="54" t="s">
        <v>240</v>
      </c>
      <c r="B1" s="54"/>
      <c r="C1" s="54"/>
      <c r="D1" s="54"/>
      <c r="E1" s="54"/>
      <c r="F1" s="54"/>
      <c r="G1" s="54"/>
      <c r="H1" s="54"/>
    </row>
    <row r="2" spans="1:23" ht="15" customHeight="1" x14ac:dyDescent="0.25">
      <c r="A2" s="55" t="s">
        <v>241</v>
      </c>
      <c r="B2" s="55"/>
      <c r="C2" s="55"/>
      <c r="D2" s="55"/>
      <c r="E2" s="55"/>
      <c r="F2" s="55"/>
      <c r="G2" s="55"/>
      <c r="H2" s="55"/>
    </row>
    <row r="4" spans="1:23" ht="37.5" customHeight="1" x14ac:dyDescent="0.25">
      <c r="A4" s="1" t="s">
        <v>3</v>
      </c>
      <c r="B4" s="1" t="s">
        <v>143</v>
      </c>
      <c r="C4" s="1" t="s">
        <v>42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J4" s="27" t="s">
        <v>403</v>
      </c>
      <c r="K4" s="27" t="s">
        <v>404</v>
      </c>
      <c r="L4" s="27" t="s">
        <v>405</v>
      </c>
      <c r="M4" s="27" t="s">
        <v>406</v>
      </c>
      <c r="N4" s="27" t="s">
        <v>407</v>
      </c>
      <c r="O4" s="27" t="s">
        <v>408</v>
      </c>
      <c r="P4" s="27" t="s">
        <v>409</v>
      </c>
      <c r="Q4" s="27" t="s">
        <v>410</v>
      </c>
      <c r="R4" s="27" t="s">
        <v>411</v>
      </c>
      <c r="T4" s="27" t="s">
        <v>414</v>
      </c>
      <c r="U4" s="27" t="s">
        <v>415</v>
      </c>
      <c r="V4" s="27" t="s">
        <v>412</v>
      </c>
      <c r="W4" s="27" t="s">
        <v>413</v>
      </c>
    </row>
    <row r="5" spans="1:23" ht="15" customHeight="1" x14ac:dyDescent="0.25">
      <c r="A5" s="56" t="s">
        <v>242</v>
      </c>
      <c r="B5" s="56"/>
      <c r="C5" s="56"/>
      <c r="D5" s="56"/>
      <c r="E5" s="56"/>
      <c r="F5" s="56"/>
      <c r="G5" s="56"/>
      <c r="H5" s="56"/>
    </row>
    <row r="6" spans="1:23" ht="31.5" customHeight="1" x14ac:dyDescent="0.25">
      <c r="A6" s="19">
        <v>1</v>
      </c>
      <c r="B6" s="8" t="s">
        <v>243</v>
      </c>
      <c r="C6" s="10" t="s">
        <v>190</v>
      </c>
      <c r="D6" s="20">
        <f>'1. Parámetros'!$B$12</f>
        <v>30000</v>
      </c>
      <c r="E6" s="21">
        <v>43219.73</v>
      </c>
      <c r="F6" s="20">
        <f>'1. Parámetros'!$B$4</f>
        <v>36</v>
      </c>
      <c r="G6" s="45">
        <f>ROUND(D6*E6*F6,2)</f>
        <v>46677308400</v>
      </c>
      <c r="H6" s="4" t="s">
        <v>244</v>
      </c>
      <c r="J6" s="38">
        <v>14475.46</v>
      </c>
      <c r="K6" s="38">
        <v>28754</v>
      </c>
      <c r="L6" s="38">
        <v>231378.73121317499</v>
      </c>
      <c r="M6" s="38">
        <v>150000</v>
      </c>
      <c r="N6" s="38">
        <v>163274.5</v>
      </c>
      <c r="O6" s="38">
        <v>21280</v>
      </c>
      <c r="P6" s="38">
        <v>205000</v>
      </c>
      <c r="Q6" s="38">
        <v>54000</v>
      </c>
      <c r="R6" s="38">
        <v>5900</v>
      </c>
      <c r="S6" s="40"/>
      <c r="T6" s="35">
        <f>+MIN(J6,K6,M6,N6,O6,Q6)</f>
        <v>14475.46</v>
      </c>
      <c r="U6" s="35">
        <f>+MAX(J6:R6)</f>
        <v>231378.73121317499</v>
      </c>
      <c r="V6" s="35">
        <f>+ROUND(AVERAGE(J6,K6,M6,N6,O6,Q6),2)</f>
        <v>71963.990000000005</v>
      </c>
      <c r="W6" s="35">
        <f>+ROUND(AVERAGE(T6,V6),2)</f>
        <v>43219.73</v>
      </c>
    </row>
    <row r="7" spans="1:23" ht="31.5" customHeight="1" x14ac:dyDescent="0.25">
      <c r="A7" s="19">
        <v>2</v>
      </c>
      <c r="B7" s="8" t="s">
        <v>245</v>
      </c>
      <c r="C7" s="10" t="s">
        <v>199</v>
      </c>
      <c r="D7" s="9">
        <v>1</v>
      </c>
      <c r="E7" s="21">
        <v>22716167.48</v>
      </c>
      <c r="F7" s="20">
        <f>'1. Parámetros'!$B$4</f>
        <v>36</v>
      </c>
      <c r="G7" s="45">
        <f t="shared" ref="G7:G10" si="0">ROUND(D7*E7*F7,2)</f>
        <v>817782029.27999997</v>
      </c>
      <c r="H7" s="4" t="s">
        <v>246</v>
      </c>
      <c r="J7" s="38">
        <v>30157210.390000001</v>
      </c>
      <c r="K7" s="38">
        <v>14220000</v>
      </c>
      <c r="L7" s="38">
        <v>22684189.334625002</v>
      </c>
      <c r="M7" s="38">
        <v>45500000</v>
      </c>
      <c r="N7" s="38">
        <v>48112610</v>
      </c>
      <c r="O7" s="38">
        <v>26600000</v>
      </c>
      <c r="P7" s="38">
        <v>81137600</v>
      </c>
      <c r="Q7" s="38">
        <v>581362473.60000002</v>
      </c>
      <c r="R7" s="38">
        <v>1771800</v>
      </c>
      <c r="S7" s="40"/>
      <c r="T7" s="35">
        <f>+MIN(J7:O7)</f>
        <v>14220000</v>
      </c>
      <c r="U7" s="35">
        <f>+MAX(J7:R7)</f>
        <v>581362473.60000002</v>
      </c>
      <c r="V7" s="35">
        <f>+ROUND(AVERAGE(J7,K7,L7,M7,N7,O7),2)</f>
        <v>31212334.949999999</v>
      </c>
      <c r="W7" s="35">
        <f t="shared" ref="W7:W19" si="1">+ROUND(AVERAGE(T7,V7),2)</f>
        <v>22716167.48</v>
      </c>
    </row>
    <row r="8" spans="1:23" ht="31.5" customHeight="1" x14ac:dyDescent="0.25">
      <c r="A8" s="19">
        <v>3</v>
      </c>
      <c r="B8" s="8" t="s">
        <v>247</v>
      </c>
      <c r="C8" s="10" t="s">
        <v>199</v>
      </c>
      <c r="D8" s="9">
        <v>1</v>
      </c>
      <c r="E8" s="21">
        <v>18826008.420000002</v>
      </c>
      <c r="F8" s="20">
        <f>'1. Parámetros'!$B$4</f>
        <v>36</v>
      </c>
      <c r="G8" s="45">
        <f t="shared" si="0"/>
        <v>677736303.12</v>
      </c>
      <c r="H8" s="4" t="s">
        <v>248</v>
      </c>
      <c r="J8" s="38">
        <v>24125768.309999999</v>
      </c>
      <c r="K8" s="38">
        <v>8520734</v>
      </c>
      <c r="L8" s="38">
        <v>11342094.667312501</v>
      </c>
      <c r="M8" s="38">
        <v>92100000</v>
      </c>
      <c r="N8" s="38">
        <v>95683611</v>
      </c>
      <c r="O8" s="38">
        <v>36480000</v>
      </c>
      <c r="P8" s="38">
        <v>153557600</v>
      </c>
      <c r="Q8" s="38">
        <v>48000000</v>
      </c>
      <c r="R8" s="38">
        <v>46319100</v>
      </c>
      <c r="S8" s="40"/>
      <c r="T8" s="35">
        <f>+MIN(J8:R8)</f>
        <v>8520734</v>
      </c>
      <c r="U8" s="35">
        <f t="shared" ref="U8:U19" si="2">+MAX(J8:R8)</f>
        <v>153557600</v>
      </c>
      <c r="V8" s="35">
        <f>+ROUND(AVERAGE(J8,K8,L8,O8,Q8,R8),2)</f>
        <v>29131282.829999998</v>
      </c>
      <c r="W8" s="35">
        <f t="shared" si="1"/>
        <v>18826008.420000002</v>
      </c>
    </row>
    <row r="9" spans="1:23" ht="31.5" customHeight="1" x14ac:dyDescent="0.25">
      <c r="A9" s="19">
        <v>4</v>
      </c>
      <c r="B9" s="8" t="s">
        <v>249</v>
      </c>
      <c r="C9" s="10" t="s">
        <v>176</v>
      </c>
      <c r="D9" s="9">
        <v>1</v>
      </c>
      <c r="E9" s="21">
        <v>44834489.5</v>
      </c>
      <c r="F9" s="20">
        <f>'1. Parámetros'!$B$4</f>
        <v>36</v>
      </c>
      <c r="G9" s="45">
        <f t="shared" si="0"/>
        <v>1614041622</v>
      </c>
      <c r="H9" s="4" t="s">
        <v>250</v>
      </c>
      <c r="J9" s="38">
        <v>36188652.460000001</v>
      </c>
      <c r="K9" s="38">
        <v>74988500.450000003</v>
      </c>
      <c r="L9" s="38">
        <v>117030235.85016891</v>
      </c>
      <c r="M9" s="38">
        <v>95000000</v>
      </c>
      <c r="N9" s="38">
        <v>99869700.000000015</v>
      </c>
      <c r="O9" s="38">
        <v>60040000</v>
      </c>
      <c r="P9" s="38">
        <v>157556000</v>
      </c>
      <c r="Q9" s="38">
        <v>30000000</v>
      </c>
      <c r="R9" s="38">
        <v>28949500</v>
      </c>
      <c r="S9" s="40"/>
      <c r="T9" s="35">
        <f t="shared" ref="T9:T17" si="3">+MIN(J9:R9)</f>
        <v>28949500</v>
      </c>
      <c r="U9" s="35">
        <f t="shared" si="2"/>
        <v>157556000</v>
      </c>
      <c r="V9" s="35">
        <f>+ROUND(AVERAGE(J9,K9,M9,N9,O9,Q9,R9),2)</f>
        <v>60719478.990000002</v>
      </c>
      <c r="W9" s="35">
        <f t="shared" si="1"/>
        <v>44834489.5</v>
      </c>
    </row>
    <row r="10" spans="1:23" ht="31.5" customHeight="1" x14ac:dyDescent="0.25">
      <c r="A10" s="19">
        <v>5</v>
      </c>
      <c r="B10" s="8" t="s">
        <v>251</v>
      </c>
      <c r="C10" s="10" t="s">
        <v>199</v>
      </c>
      <c r="D10" s="9">
        <v>1</v>
      </c>
      <c r="E10" s="21">
        <v>7687249.3200000003</v>
      </c>
      <c r="F10" s="20">
        <f>'1. Parámetros'!$B$4</f>
        <v>36</v>
      </c>
      <c r="G10" s="45">
        <f t="shared" si="0"/>
        <v>276740975.51999998</v>
      </c>
      <c r="H10" s="4" t="s">
        <v>252</v>
      </c>
      <c r="J10" s="38">
        <v>18094326.23</v>
      </c>
      <c r="K10" s="38">
        <v>3998466.72</v>
      </c>
      <c r="L10" s="38">
        <v>3402628.400193749</v>
      </c>
      <c r="M10" s="38">
        <v>120000000</v>
      </c>
      <c r="N10" s="38">
        <v>125588400</v>
      </c>
      <c r="O10" s="38">
        <v>14440000</v>
      </c>
      <c r="P10" s="38">
        <v>216920000.00000003</v>
      </c>
      <c r="Q10" s="38">
        <v>18000000</v>
      </c>
      <c r="R10" s="38">
        <v>13895800</v>
      </c>
      <c r="S10" s="40"/>
      <c r="T10" s="35">
        <f t="shared" si="3"/>
        <v>3402628.400193749</v>
      </c>
      <c r="U10" s="35">
        <f t="shared" si="2"/>
        <v>216920000.00000003</v>
      </c>
      <c r="V10" s="35">
        <f>+ROUND(AVERAGE(J10,K10,L10,O10,Q10,R10),2)</f>
        <v>11971870.23</v>
      </c>
      <c r="W10" s="35">
        <f t="shared" si="1"/>
        <v>7687249.3200000003</v>
      </c>
    </row>
    <row r="11" spans="1:23" x14ac:dyDescent="0.25">
      <c r="A11" s="52" t="s">
        <v>253</v>
      </c>
      <c r="B11" s="52"/>
      <c r="C11" s="52"/>
      <c r="D11" s="52"/>
      <c r="E11" s="52"/>
      <c r="F11" s="52"/>
      <c r="G11" s="46">
        <f>SUM(G6:G10)</f>
        <v>50063609329.919998</v>
      </c>
      <c r="H11" s="23"/>
      <c r="J11" s="75"/>
      <c r="K11" s="75"/>
      <c r="L11" s="75"/>
      <c r="M11" s="75"/>
      <c r="N11" s="75"/>
      <c r="O11" s="75"/>
      <c r="P11" s="75"/>
      <c r="Q11" s="75"/>
      <c r="R11" s="75"/>
      <c r="S11" s="40"/>
      <c r="T11" s="76"/>
      <c r="U11" s="76"/>
      <c r="V11" s="76"/>
      <c r="W11" s="76"/>
    </row>
    <row r="12" spans="1:23" x14ac:dyDescent="0.25">
      <c r="J12" s="75"/>
      <c r="K12" s="75"/>
      <c r="L12" s="75"/>
      <c r="M12" s="75"/>
      <c r="N12" s="75"/>
      <c r="O12" s="75"/>
      <c r="P12" s="75"/>
      <c r="Q12" s="75"/>
      <c r="R12" s="75"/>
      <c r="S12" s="40"/>
      <c r="T12" s="76"/>
      <c r="U12" s="76"/>
      <c r="V12" s="76"/>
      <c r="W12" s="76"/>
    </row>
    <row r="13" spans="1:23" ht="15" customHeight="1" x14ac:dyDescent="0.25">
      <c r="A13" s="56" t="s">
        <v>254</v>
      </c>
      <c r="B13" s="56"/>
      <c r="C13" s="56"/>
      <c r="D13" s="56"/>
      <c r="E13" s="56"/>
      <c r="F13" s="56"/>
      <c r="G13" s="56"/>
      <c r="H13" s="56"/>
      <c r="J13" s="75"/>
      <c r="K13" s="75"/>
      <c r="L13" s="75"/>
      <c r="M13" s="75"/>
      <c r="N13" s="75"/>
      <c r="O13" s="75"/>
      <c r="P13" s="75"/>
      <c r="Q13" s="75"/>
      <c r="R13" s="75"/>
      <c r="S13" s="40"/>
      <c r="T13" s="76"/>
      <c r="U13" s="76"/>
      <c r="V13" s="76"/>
      <c r="W13" s="76"/>
    </row>
    <row r="14" spans="1:23" ht="31.5" customHeight="1" x14ac:dyDescent="0.25">
      <c r="A14" s="19">
        <v>1</v>
      </c>
      <c r="B14" s="8" t="s">
        <v>255</v>
      </c>
      <c r="C14" s="10" t="s">
        <v>256</v>
      </c>
      <c r="D14" s="20">
        <f>'1. Parámetros'!$B$18</f>
        <v>31</v>
      </c>
      <c r="E14" s="21">
        <v>16291166.210000001</v>
      </c>
      <c r="F14" s="9">
        <v>1</v>
      </c>
      <c r="G14" s="45">
        <f>ROUND(D14*E14*F14,2)</f>
        <v>505026152.50999999</v>
      </c>
      <c r="H14" s="4" t="s">
        <v>257</v>
      </c>
      <c r="J14" s="38">
        <v>66345862.840000004</v>
      </c>
      <c r="K14" s="38">
        <v>95280639</v>
      </c>
      <c r="L14" s="38">
        <v>273654982.84090912</v>
      </c>
      <c r="M14" s="38">
        <v>6230000</v>
      </c>
      <c r="N14" s="38">
        <v>7600000</v>
      </c>
      <c r="O14" s="38">
        <v>22800000</v>
      </c>
      <c r="P14" s="38">
        <v>9751200</v>
      </c>
      <c r="Q14" s="38">
        <v>45386931.600000001</v>
      </c>
      <c r="R14" s="38">
        <v>92638200</v>
      </c>
      <c r="S14" s="40"/>
      <c r="T14" s="35">
        <f t="shared" si="3"/>
        <v>6230000</v>
      </c>
      <c r="U14" s="35">
        <f t="shared" si="2"/>
        <v>273654982.84090912</v>
      </c>
      <c r="V14" s="35">
        <f>+ROUND(AVERAGE(J14,M14,N14,O14,P14,Q14),2)</f>
        <v>26352332.41</v>
      </c>
      <c r="W14" s="35">
        <f t="shared" si="1"/>
        <v>16291166.210000001</v>
      </c>
    </row>
    <row r="15" spans="1:23" ht="31.5" customHeight="1" x14ac:dyDescent="0.25">
      <c r="A15" s="19">
        <v>2</v>
      </c>
      <c r="B15" s="8" t="s">
        <v>258</v>
      </c>
      <c r="C15" s="10" t="s">
        <v>256</v>
      </c>
      <c r="D15" s="20">
        <f>'1. Parámetros'!$B$19</f>
        <v>7</v>
      </c>
      <c r="E15" s="21">
        <v>17347915.739999998</v>
      </c>
      <c r="F15" s="9">
        <v>1</v>
      </c>
      <c r="G15" s="45">
        <f t="shared" ref="G15:G19" si="4">ROUND(D15*E15*F15,2)</f>
        <v>121435410.18000001</v>
      </c>
      <c r="H15" s="4" t="s">
        <v>259</v>
      </c>
      <c r="J15" s="38">
        <v>54282978.689999998</v>
      </c>
      <c r="K15" s="38">
        <v>78280640</v>
      </c>
      <c r="L15" s="38">
        <v>229476354.5454545</v>
      </c>
      <c r="M15" s="38">
        <v>1285000</v>
      </c>
      <c r="N15" s="38">
        <v>2450000</v>
      </c>
      <c r="O15" s="38">
        <v>26600000</v>
      </c>
      <c r="P15" s="38">
        <v>2121600</v>
      </c>
      <c r="Q15" s="38">
        <v>143570907.59999999</v>
      </c>
      <c r="R15" s="38">
        <v>110007800</v>
      </c>
      <c r="S15" s="40"/>
      <c r="T15" s="35">
        <f t="shared" si="3"/>
        <v>1285000</v>
      </c>
      <c r="U15" s="35">
        <f t="shared" si="2"/>
        <v>229476354.5454545</v>
      </c>
      <c r="V15" s="35">
        <f>+ROUND(AVERAGE(J15,M15,N15,O15,P15),2)</f>
        <v>17347915.739999998</v>
      </c>
      <c r="W15" s="35">
        <f t="shared" si="1"/>
        <v>9316457.8699999992</v>
      </c>
    </row>
    <row r="16" spans="1:23" ht="31.5" customHeight="1" x14ac:dyDescent="0.25">
      <c r="A16" s="19">
        <v>3</v>
      </c>
      <c r="B16" s="8" t="s">
        <v>260</v>
      </c>
      <c r="C16" s="10" t="s">
        <v>256</v>
      </c>
      <c r="D16" s="20">
        <f>'1. Parámetros'!$B$20</f>
        <v>3</v>
      </c>
      <c r="E16" s="21">
        <v>13594125</v>
      </c>
      <c r="F16" s="9">
        <v>1</v>
      </c>
      <c r="G16" s="45">
        <f t="shared" si="4"/>
        <v>40782375</v>
      </c>
      <c r="H16" s="4" t="s">
        <v>261</v>
      </c>
      <c r="J16" s="38">
        <v>84440189.069999993</v>
      </c>
      <c r="K16" s="38">
        <v>114650500</v>
      </c>
      <c r="L16" s="38">
        <v>242434237.5</v>
      </c>
      <c r="M16" s="38">
        <v>4205550</v>
      </c>
      <c r="N16" s="38">
        <v>6700550</v>
      </c>
      <c r="O16" s="38">
        <v>36480000</v>
      </c>
      <c r="P16" s="38">
        <v>6990400.0000000009</v>
      </c>
      <c r="Q16" s="38">
        <v>586247872.79999995</v>
      </c>
      <c r="R16" s="38">
        <v>162116800</v>
      </c>
      <c r="S16" s="40"/>
      <c r="T16" s="35">
        <f t="shared" si="3"/>
        <v>4205550</v>
      </c>
      <c r="U16" s="35">
        <f t="shared" si="2"/>
        <v>586247872.79999995</v>
      </c>
      <c r="V16" s="35">
        <f>+ROUND(AVERAGE(M16,N16,O16,P16),2)</f>
        <v>13594125</v>
      </c>
      <c r="W16" s="35">
        <f t="shared" si="1"/>
        <v>8899837.5</v>
      </c>
    </row>
    <row r="17" spans="1:23" ht="31.5" customHeight="1" x14ac:dyDescent="0.25">
      <c r="A17" s="19">
        <v>4</v>
      </c>
      <c r="B17" s="8" t="s">
        <v>262</v>
      </c>
      <c r="C17" s="10" t="s">
        <v>256</v>
      </c>
      <c r="D17" s="20">
        <f>'1. Parámetros'!$B$21</f>
        <v>45</v>
      </c>
      <c r="E17" s="21">
        <v>18611200</v>
      </c>
      <c r="F17" s="9">
        <v>1</v>
      </c>
      <c r="G17" s="45">
        <f t="shared" si="4"/>
        <v>837504000</v>
      </c>
      <c r="H17" s="4" t="s">
        <v>263</v>
      </c>
      <c r="J17" s="38">
        <v>42220094.539999999</v>
      </c>
      <c r="K17" s="38">
        <v>89136458</v>
      </c>
      <c r="L17" s="38">
        <v>205598409.5454545</v>
      </c>
      <c r="M17" s="38">
        <v>12540000</v>
      </c>
      <c r="N17" s="38">
        <v>18540000</v>
      </c>
      <c r="O17" s="38">
        <v>22040000</v>
      </c>
      <c r="P17" s="38">
        <v>21324800</v>
      </c>
      <c r="Q17" s="38">
        <v>46899829.199999996</v>
      </c>
      <c r="R17" s="38">
        <v>156327000</v>
      </c>
      <c r="S17" s="40"/>
      <c r="T17" s="35">
        <f t="shared" si="3"/>
        <v>12540000</v>
      </c>
      <c r="U17" s="35">
        <f t="shared" si="2"/>
        <v>205598409.5454545</v>
      </c>
      <c r="V17" s="35">
        <f>+ROUND(AVERAGE(M17,N17,O17,P17),2)</f>
        <v>18611200</v>
      </c>
      <c r="W17" s="35">
        <f t="shared" si="1"/>
        <v>15575600</v>
      </c>
    </row>
    <row r="18" spans="1:23" ht="31.5" customHeight="1" x14ac:dyDescent="0.25">
      <c r="A18" s="19">
        <v>5</v>
      </c>
      <c r="B18" s="8" t="s">
        <v>264</v>
      </c>
      <c r="C18" s="10" t="s">
        <v>167</v>
      </c>
      <c r="D18" s="20">
        <f>'1. Parámetros'!$B$22</f>
        <v>7</v>
      </c>
      <c r="E18" s="21">
        <v>16954995.039999999</v>
      </c>
      <c r="F18" s="9">
        <v>1</v>
      </c>
      <c r="G18" s="45">
        <f t="shared" si="4"/>
        <v>118684965.28</v>
      </c>
      <c r="H18" s="4" t="s">
        <v>265</v>
      </c>
      <c r="J18" s="38">
        <v>18094326.23</v>
      </c>
      <c r="K18" s="38">
        <v>17197575</v>
      </c>
      <c r="L18" s="38">
        <v>14883073.98088083</v>
      </c>
      <c r="M18" s="38">
        <v>14800000</v>
      </c>
      <c r="N18" s="38">
        <v>19800000</v>
      </c>
      <c r="O18" s="38">
        <v>7524000</v>
      </c>
      <c r="P18" s="38">
        <v>23147200</v>
      </c>
      <c r="Q18" s="38">
        <v>40199853.600000001</v>
      </c>
      <c r="R18" s="38">
        <v>40529300</v>
      </c>
      <c r="S18" s="40"/>
      <c r="T18" s="35">
        <f>+MIN(J18,K18,L18,M18,N18,P18)</f>
        <v>14800000</v>
      </c>
      <c r="U18" s="35">
        <f t="shared" si="2"/>
        <v>40529300</v>
      </c>
      <c r="V18" s="35">
        <f>+ROUND(AVERAGE(J18,K18,L18,M18,N18),2)</f>
        <v>16954995.039999999</v>
      </c>
      <c r="W18" s="35">
        <f t="shared" si="1"/>
        <v>15877497.52</v>
      </c>
    </row>
    <row r="19" spans="1:23" ht="31.5" customHeight="1" x14ac:dyDescent="0.25">
      <c r="A19" s="19">
        <v>6</v>
      </c>
      <c r="B19" s="8" t="s">
        <v>266</v>
      </c>
      <c r="C19" s="10" t="s">
        <v>267</v>
      </c>
      <c r="D19" s="9">
        <v>86</v>
      </c>
      <c r="E19" s="21">
        <v>7997582.6399999997</v>
      </c>
      <c r="F19" s="9">
        <v>1</v>
      </c>
      <c r="G19" s="45">
        <f t="shared" si="4"/>
        <v>687792107.03999996</v>
      </c>
      <c r="H19" s="4" t="s">
        <v>268</v>
      </c>
      <c r="J19" s="38">
        <v>7237730.5</v>
      </c>
      <c r="K19" s="38">
        <v>18688031.5</v>
      </c>
      <c r="L19" s="38">
        <v>13618526.360993657</v>
      </c>
      <c r="M19" s="38">
        <v>6520400</v>
      </c>
      <c r="N19" s="38">
        <v>8550000</v>
      </c>
      <c r="O19" s="38">
        <v>4180000</v>
      </c>
      <c r="P19" s="38">
        <v>11532800</v>
      </c>
      <c r="Q19" s="38">
        <v>9600000</v>
      </c>
      <c r="R19" s="38">
        <v>9263900</v>
      </c>
      <c r="S19" s="40"/>
      <c r="T19" s="35">
        <f>+MIN(J19,L19,M19,N19,P19,Q19,R19)</f>
        <v>6520400</v>
      </c>
      <c r="U19" s="35">
        <f t="shared" si="2"/>
        <v>18688031.5</v>
      </c>
      <c r="V19" s="35">
        <f>+ROUND(AVERAGE(J19,L19,M19,N19,P19,Q19,R19),2)</f>
        <v>9474765.2699999996</v>
      </c>
      <c r="W19" s="35">
        <f t="shared" si="1"/>
        <v>7997582.6399999997</v>
      </c>
    </row>
    <row r="20" spans="1:23" x14ac:dyDescent="0.25">
      <c r="A20" s="52" t="s">
        <v>269</v>
      </c>
      <c r="B20" s="52"/>
      <c r="C20" s="52"/>
      <c r="D20" s="52"/>
      <c r="E20" s="52"/>
      <c r="F20" s="52"/>
      <c r="G20" s="46">
        <f>SUM(G14:G19)</f>
        <v>2311225010.0100002</v>
      </c>
      <c r="H20" s="23"/>
    </row>
    <row r="22" spans="1:23" ht="30" customHeight="1" x14ac:dyDescent="0.25">
      <c r="A22" s="53" t="s">
        <v>270</v>
      </c>
      <c r="B22" s="53"/>
      <c r="C22" s="53"/>
      <c r="D22" s="53"/>
      <c r="E22" s="53"/>
      <c r="F22" s="53"/>
      <c r="G22" s="48">
        <f>G11+G20</f>
        <v>52374834339.93</v>
      </c>
      <c r="H22" s="24"/>
    </row>
  </sheetData>
  <mergeCells count="7">
    <mergeCell ref="A20:F20"/>
    <mergeCell ref="A22:F22"/>
    <mergeCell ref="A1:H1"/>
    <mergeCell ref="A2:H2"/>
    <mergeCell ref="A5:H5"/>
    <mergeCell ref="A11:F11"/>
    <mergeCell ref="A13:H13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23"/>
  <sheetViews>
    <sheetView topLeftCell="H4" zoomScaleNormal="100" workbookViewId="0">
      <selection activeCell="J6" sqref="J6:W18"/>
    </sheetView>
  </sheetViews>
  <sheetFormatPr baseColWidth="10" defaultColWidth="8.42578125" defaultRowHeight="15" x14ac:dyDescent="0.25"/>
  <cols>
    <col min="1" max="1" width="6" customWidth="1"/>
    <col min="2" max="2" width="46" customWidth="1"/>
    <col min="3" max="3" width="16" customWidth="1"/>
    <col min="4" max="4" width="10" customWidth="1"/>
    <col min="5" max="5" width="20" customWidth="1"/>
    <col min="6" max="6" width="8" customWidth="1"/>
    <col min="7" max="7" width="24.140625" bestFit="1" customWidth="1"/>
    <col min="8" max="8" width="30" customWidth="1"/>
    <col min="9" max="9" width="2.42578125" customWidth="1"/>
    <col min="10" max="10" width="16.85546875" customWidth="1"/>
    <col min="11" max="11" width="23.42578125" customWidth="1"/>
    <col min="12" max="18" width="16.85546875" customWidth="1"/>
    <col min="19" max="19" width="3.28515625" customWidth="1"/>
    <col min="20" max="23" width="16.7109375" customWidth="1"/>
  </cols>
  <sheetData>
    <row r="1" spans="1:23" ht="30" customHeight="1" x14ac:dyDescent="0.25">
      <c r="A1" s="54" t="s">
        <v>271</v>
      </c>
      <c r="B1" s="54"/>
      <c r="C1" s="54"/>
      <c r="D1" s="54"/>
      <c r="E1" s="54"/>
      <c r="F1" s="54"/>
      <c r="G1" s="54"/>
      <c r="H1" s="54"/>
    </row>
    <row r="2" spans="1:23" ht="15" customHeight="1" x14ac:dyDescent="0.25">
      <c r="A2" s="55" t="s">
        <v>272</v>
      </c>
      <c r="B2" s="55"/>
      <c r="C2" s="55"/>
      <c r="D2" s="55"/>
      <c r="E2" s="55"/>
      <c r="F2" s="55"/>
      <c r="G2" s="55"/>
      <c r="H2" s="55"/>
    </row>
    <row r="4" spans="1:23" ht="37.5" customHeight="1" x14ac:dyDescent="0.25">
      <c r="A4" s="1" t="s">
        <v>3</v>
      </c>
      <c r="B4" s="1" t="s">
        <v>143</v>
      </c>
      <c r="C4" s="1" t="s">
        <v>42</v>
      </c>
      <c r="D4" s="1" t="s">
        <v>144</v>
      </c>
      <c r="E4" s="1" t="s">
        <v>145</v>
      </c>
      <c r="F4" s="1" t="s">
        <v>146</v>
      </c>
      <c r="G4" s="1" t="s">
        <v>147</v>
      </c>
      <c r="H4" s="1" t="s">
        <v>148</v>
      </c>
      <c r="J4" s="27" t="s">
        <v>403</v>
      </c>
      <c r="K4" s="27" t="s">
        <v>404</v>
      </c>
      <c r="L4" s="27" t="s">
        <v>405</v>
      </c>
      <c r="M4" s="27" t="s">
        <v>406</v>
      </c>
      <c r="N4" s="27" t="s">
        <v>407</v>
      </c>
      <c r="O4" s="27" t="s">
        <v>408</v>
      </c>
      <c r="P4" s="27" t="s">
        <v>409</v>
      </c>
      <c r="Q4" s="27" t="s">
        <v>410</v>
      </c>
      <c r="R4" s="27" t="s">
        <v>411</v>
      </c>
      <c r="T4" s="27" t="s">
        <v>414</v>
      </c>
      <c r="U4" s="27" t="s">
        <v>415</v>
      </c>
      <c r="V4" s="27" t="s">
        <v>412</v>
      </c>
      <c r="W4" s="27" t="s">
        <v>413</v>
      </c>
    </row>
    <row r="5" spans="1:23" ht="15" customHeight="1" x14ac:dyDescent="0.25">
      <c r="A5" s="56" t="s">
        <v>273</v>
      </c>
      <c r="B5" s="56"/>
      <c r="C5" s="56"/>
      <c r="D5" s="56"/>
      <c r="E5" s="56"/>
      <c r="F5" s="56"/>
      <c r="G5" s="56"/>
      <c r="H5" s="56"/>
    </row>
    <row r="6" spans="1:23" ht="31.5" customHeight="1" x14ac:dyDescent="0.25">
      <c r="A6" s="19">
        <v>1</v>
      </c>
      <c r="B6" s="8" t="s">
        <v>274</v>
      </c>
      <c r="C6" s="10" t="s">
        <v>275</v>
      </c>
      <c r="D6" s="20">
        <f>'1. Parámetros'!$B$24</f>
        <v>6000</v>
      </c>
      <c r="E6" s="21">
        <v>1596689.53</v>
      </c>
      <c r="F6" s="9">
        <v>1</v>
      </c>
      <c r="G6" s="45">
        <f>ROUND(D6*E6*F6,2)</f>
        <v>9580137180</v>
      </c>
      <c r="H6" s="4" t="s">
        <v>276</v>
      </c>
      <c r="J6" s="38">
        <v>1447546.09</v>
      </c>
      <c r="K6" s="38">
        <v>2050272.6251350148</v>
      </c>
      <c r="L6" s="38">
        <v>1485476.6062500002</v>
      </c>
      <c r="M6" s="38">
        <v>4092614.4</v>
      </c>
      <c r="N6" s="38">
        <v>5250000</v>
      </c>
      <c r="O6" s="38">
        <v>1406000</v>
      </c>
      <c r="P6" s="38">
        <v>3822772.3200000003</v>
      </c>
      <c r="Q6" s="38">
        <v>3224362.8</v>
      </c>
      <c r="R6" s="38">
        <v>2547600</v>
      </c>
      <c r="S6" s="40"/>
      <c r="T6" s="35">
        <f>+MIN(J6:R6)</f>
        <v>1406000</v>
      </c>
      <c r="U6" s="35">
        <f>+MAX(J6:R6)</f>
        <v>5250000</v>
      </c>
      <c r="V6" s="35">
        <f>+ROUND(AVERAGE(J6,K6,L6,O6,R6),2)</f>
        <v>1787379.06</v>
      </c>
      <c r="W6" s="35">
        <f>+ROUND(AVERAGE(T6,V6),2)</f>
        <v>1596689.53</v>
      </c>
    </row>
    <row r="7" spans="1:23" ht="31.5" customHeight="1" x14ac:dyDescent="0.25">
      <c r="A7" s="19">
        <v>2</v>
      </c>
      <c r="B7" s="8" t="s">
        <v>277</v>
      </c>
      <c r="C7" s="10" t="s">
        <v>275</v>
      </c>
      <c r="D7" s="20">
        <f>'1. Parámetros'!$B$25</f>
        <v>1000</v>
      </c>
      <c r="E7" s="21">
        <v>686321.7</v>
      </c>
      <c r="F7" s="9">
        <v>1</v>
      </c>
      <c r="G7" s="45">
        <f t="shared" ref="G7:G13" si="0">ROUND(D7*E7*F7,2)</f>
        <v>686321700</v>
      </c>
      <c r="H7" s="4" t="s">
        <v>278</v>
      </c>
      <c r="J7" s="38">
        <v>542829.79</v>
      </c>
      <c r="K7" s="38">
        <v>603021.36033382791</v>
      </c>
      <c r="L7" s="38">
        <v>655357.32628676458</v>
      </c>
      <c r="M7" s="38">
        <v>1390207</v>
      </c>
      <c r="N7" s="38">
        <v>1877000</v>
      </c>
      <c r="O7" s="38">
        <v>646000</v>
      </c>
      <c r="P7" s="38">
        <v>1324006.24</v>
      </c>
      <c r="Q7" s="38">
        <v>3517486.8</v>
      </c>
      <c r="R7" s="38">
        <v>984400</v>
      </c>
      <c r="S7" s="40"/>
      <c r="T7" s="35">
        <f t="shared" ref="T7:T18" si="1">+MIN(J7:R7)</f>
        <v>542829.79</v>
      </c>
      <c r="U7" s="35">
        <f t="shared" ref="U7:U18" si="2">+MAX(J7:R7)</f>
        <v>3517486.8</v>
      </c>
      <c r="V7" s="35">
        <f>+ROUND(AVERAGE(J7,K7,L7,O7,R7),2)</f>
        <v>686321.7</v>
      </c>
      <c r="W7" s="35">
        <f t="shared" ref="W7:W18" si="3">+ROUND(AVERAGE(T7,V7),2)</f>
        <v>614575.75</v>
      </c>
    </row>
    <row r="8" spans="1:23" ht="31.5" customHeight="1" x14ac:dyDescent="0.25">
      <c r="A8" s="19">
        <v>3</v>
      </c>
      <c r="B8" s="8" t="s">
        <v>279</v>
      </c>
      <c r="C8" s="10" t="s">
        <v>275</v>
      </c>
      <c r="D8" s="9">
        <v>800</v>
      </c>
      <c r="E8" s="21">
        <v>451826.73</v>
      </c>
      <c r="F8" s="9">
        <v>1</v>
      </c>
      <c r="G8" s="45">
        <f t="shared" si="0"/>
        <v>361461384</v>
      </c>
      <c r="H8" s="4" t="s">
        <v>280</v>
      </c>
      <c r="J8" s="38">
        <v>422200.94</v>
      </c>
      <c r="K8" s="38">
        <v>434175.37944035605</v>
      </c>
      <c r="L8" s="38">
        <v>655357.32628676458</v>
      </c>
      <c r="M8" s="38">
        <v>1111202.3999999999</v>
      </c>
      <c r="N8" s="38">
        <v>1350000</v>
      </c>
      <c r="O8" s="38">
        <v>342000</v>
      </c>
      <c r="P8" s="38">
        <v>1043525.28</v>
      </c>
      <c r="Q8" s="38">
        <v>1020000</v>
      </c>
      <c r="R8" s="38">
        <v>405400</v>
      </c>
      <c r="S8" s="40"/>
      <c r="T8" s="35">
        <f t="shared" si="1"/>
        <v>342000</v>
      </c>
      <c r="U8" s="35">
        <f t="shared" si="2"/>
        <v>1350000</v>
      </c>
      <c r="V8" s="35">
        <f>+ROUND(AVERAGE(J8,K8,L8,O8,R8),2)</f>
        <v>451826.73</v>
      </c>
      <c r="W8" s="35">
        <f t="shared" si="3"/>
        <v>396913.37</v>
      </c>
    </row>
    <row r="9" spans="1:23" ht="31.5" customHeight="1" x14ac:dyDescent="0.25">
      <c r="A9" s="19">
        <v>4</v>
      </c>
      <c r="B9" s="8" t="s">
        <v>281</v>
      </c>
      <c r="C9" s="10" t="s">
        <v>275</v>
      </c>
      <c r="D9" s="9">
        <v>500</v>
      </c>
      <c r="E9" s="21">
        <v>295784.65999999997</v>
      </c>
      <c r="F9" s="9">
        <v>1</v>
      </c>
      <c r="G9" s="45">
        <f t="shared" si="0"/>
        <v>147892330</v>
      </c>
      <c r="H9" s="4" t="s">
        <v>280</v>
      </c>
      <c r="J9" s="38">
        <v>301572.09999999998</v>
      </c>
      <c r="K9" s="38">
        <v>289450.25296023738</v>
      </c>
      <c r="L9" s="38">
        <v>337316.27088289353</v>
      </c>
      <c r="M9" s="38">
        <v>1089456.2</v>
      </c>
      <c r="N9" s="38">
        <v>1288000</v>
      </c>
      <c r="O9" s="38">
        <v>144400</v>
      </c>
      <c r="P9" s="38">
        <v>1008416.8800000001</v>
      </c>
      <c r="Q9" s="38">
        <v>660000</v>
      </c>
      <c r="R9" s="38">
        <v>254800</v>
      </c>
      <c r="S9" s="40"/>
      <c r="T9" s="35">
        <f t="shared" si="1"/>
        <v>144400</v>
      </c>
      <c r="U9" s="35">
        <f t="shared" si="2"/>
        <v>1288000</v>
      </c>
      <c r="V9" s="35">
        <f>+ROUND(AVERAGE(J9,K9,L9,R9),2)</f>
        <v>295784.65999999997</v>
      </c>
      <c r="W9" s="35">
        <f t="shared" si="3"/>
        <v>220092.33</v>
      </c>
    </row>
    <row r="10" spans="1:23" ht="31.5" customHeight="1" x14ac:dyDescent="0.25">
      <c r="A10" s="19">
        <v>5</v>
      </c>
      <c r="B10" s="8" t="s">
        <v>282</v>
      </c>
      <c r="C10" s="10" t="s">
        <v>283</v>
      </c>
      <c r="D10" s="9">
        <v>120</v>
      </c>
      <c r="E10" s="21">
        <v>8709435.2799999993</v>
      </c>
      <c r="F10" s="9">
        <v>1</v>
      </c>
      <c r="G10" s="45">
        <f t="shared" si="0"/>
        <v>1045132233.6</v>
      </c>
      <c r="H10" s="4" t="s">
        <v>284</v>
      </c>
      <c r="J10" s="38">
        <v>4222009.45</v>
      </c>
      <c r="K10" s="38">
        <v>8442299.04467359</v>
      </c>
      <c r="L10" s="38">
        <v>10859940</v>
      </c>
      <c r="M10" s="38">
        <v>14274135.399999999</v>
      </c>
      <c r="N10" s="38">
        <v>17300000</v>
      </c>
      <c r="O10" s="38">
        <v>4940000</v>
      </c>
      <c r="P10" s="38">
        <v>13205998.48</v>
      </c>
      <c r="Q10" s="38">
        <v>5400000</v>
      </c>
      <c r="R10" s="38">
        <v>13895800</v>
      </c>
      <c r="S10" s="40"/>
      <c r="T10" s="35">
        <f t="shared" si="1"/>
        <v>4222009.45</v>
      </c>
      <c r="U10" s="35">
        <f t="shared" si="2"/>
        <v>17300000</v>
      </c>
      <c r="V10" s="35">
        <f>+ROUND(AVERAGE(J10,K10,L10,O10,P10,Q10,R10),2)</f>
        <v>8709435.2799999993</v>
      </c>
      <c r="W10" s="35">
        <f t="shared" si="3"/>
        <v>6465722.3700000001</v>
      </c>
    </row>
    <row r="11" spans="1:23" ht="31.5" customHeight="1" x14ac:dyDescent="0.25">
      <c r="A11" s="19">
        <v>6</v>
      </c>
      <c r="B11" s="8" t="s">
        <v>285</v>
      </c>
      <c r="C11" s="10" t="s">
        <v>42</v>
      </c>
      <c r="D11" s="9">
        <v>80</v>
      </c>
      <c r="E11" s="21">
        <v>6542972.0800000001</v>
      </c>
      <c r="F11" s="9">
        <v>1</v>
      </c>
      <c r="G11" s="45">
        <f t="shared" si="0"/>
        <v>523437766.39999998</v>
      </c>
      <c r="H11" s="4" t="s">
        <v>286</v>
      </c>
      <c r="J11" s="38">
        <v>5428297.8799999999</v>
      </c>
      <c r="K11" s="38">
        <v>2894502.529602374</v>
      </c>
      <c r="L11" s="38">
        <v>8632260</v>
      </c>
      <c r="M11" s="38">
        <v>16090096.399999999</v>
      </c>
      <c r="N11" s="38">
        <v>19000000</v>
      </c>
      <c r="O11" s="38">
        <v>4180000</v>
      </c>
      <c r="P11" s="38">
        <v>14965894.24</v>
      </c>
      <c r="Q11" s="38">
        <v>17587436.399999999</v>
      </c>
      <c r="R11" s="38">
        <v>11579800</v>
      </c>
      <c r="S11" s="40"/>
      <c r="T11" s="35">
        <f t="shared" si="1"/>
        <v>2894502.529602374</v>
      </c>
      <c r="U11" s="35">
        <f t="shared" si="2"/>
        <v>19000000</v>
      </c>
      <c r="V11" s="35">
        <f>+ROUND(AVERAGE(J11,K11,L11,O11,R11),2)</f>
        <v>6542972.0800000001</v>
      </c>
      <c r="W11" s="35">
        <f t="shared" si="3"/>
        <v>4718737.3</v>
      </c>
    </row>
    <row r="12" spans="1:23" ht="31.5" customHeight="1" x14ac:dyDescent="0.25">
      <c r="A12" s="19">
        <v>7</v>
      </c>
      <c r="B12" s="8" t="s">
        <v>287</v>
      </c>
      <c r="C12" s="10" t="s">
        <v>288</v>
      </c>
      <c r="D12" s="9">
        <v>150</v>
      </c>
      <c r="E12" s="21">
        <v>4365226.4800000004</v>
      </c>
      <c r="F12" s="9">
        <v>1</v>
      </c>
      <c r="G12" s="45">
        <f t="shared" si="0"/>
        <v>654783972</v>
      </c>
      <c r="H12" s="4" t="s">
        <v>289</v>
      </c>
      <c r="J12" s="38">
        <v>3618865.25</v>
      </c>
      <c r="K12" s="38">
        <v>6030213.6033382788</v>
      </c>
      <c r="L12" s="38">
        <v>5012280</v>
      </c>
      <c r="M12" s="38">
        <v>8945519.7999999989</v>
      </c>
      <c r="N12" s="38">
        <v>10723000</v>
      </c>
      <c r="O12" s="38">
        <v>1900000</v>
      </c>
      <c r="P12" s="38">
        <v>8147322.080000001</v>
      </c>
      <c r="Q12" s="38">
        <v>3840000</v>
      </c>
      <c r="R12" s="38">
        <v>5790000</v>
      </c>
      <c r="S12" s="40"/>
      <c r="T12" s="35">
        <f t="shared" si="1"/>
        <v>1900000</v>
      </c>
      <c r="U12" s="35">
        <f t="shared" si="2"/>
        <v>10723000</v>
      </c>
      <c r="V12" s="35">
        <f>+ROUND(AVERAGE(J12,K12,L12,O12,Q12,R12),2)</f>
        <v>4365226.4800000004</v>
      </c>
      <c r="W12" s="35">
        <f t="shared" si="3"/>
        <v>3132613.24</v>
      </c>
    </row>
    <row r="13" spans="1:23" ht="31.5" customHeight="1" x14ac:dyDescent="0.25">
      <c r="A13" s="19">
        <v>8</v>
      </c>
      <c r="B13" s="8" t="s">
        <v>290</v>
      </c>
      <c r="C13" s="10" t="s">
        <v>288</v>
      </c>
      <c r="D13" s="9">
        <v>250</v>
      </c>
      <c r="E13" s="21">
        <v>667843.53</v>
      </c>
      <c r="F13" s="9">
        <v>1</v>
      </c>
      <c r="G13" s="45">
        <f t="shared" si="0"/>
        <v>166960882.5</v>
      </c>
      <c r="H13" s="4" t="s">
        <v>291</v>
      </c>
      <c r="J13" s="38">
        <v>603144.21</v>
      </c>
      <c r="K13" s="38">
        <v>844229.90446735907</v>
      </c>
      <c r="L13" s="38">
        <v>8040532.5</v>
      </c>
      <c r="M13" s="38">
        <v>5358599.3999999994</v>
      </c>
      <c r="N13" s="38">
        <v>6251000</v>
      </c>
      <c r="O13" s="38">
        <v>684000</v>
      </c>
      <c r="P13" s="38">
        <v>5030693.04</v>
      </c>
      <c r="Q13" s="38">
        <v>540000</v>
      </c>
      <c r="R13" s="38">
        <v>2316000</v>
      </c>
      <c r="S13" s="40"/>
      <c r="T13" s="35">
        <f t="shared" si="1"/>
        <v>540000</v>
      </c>
      <c r="U13" s="35">
        <f t="shared" si="2"/>
        <v>8040532.5</v>
      </c>
      <c r="V13" s="35">
        <f>+ROUND(AVERAGE(J13,K13,O13,Q13),2)</f>
        <v>667843.53</v>
      </c>
      <c r="W13" s="35">
        <f t="shared" si="3"/>
        <v>603921.77</v>
      </c>
    </row>
    <row r="14" spans="1:23" x14ac:dyDescent="0.25">
      <c r="A14" s="52" t="s">
        <v>292</v>
      </c>
      <c r="B14" s="52"/>
      <c r="C14" s="52"/>
      <c r="D14" s="52"/>
      <c r="E14" s="52"/>
      <c r="F14" s="52"/>
      <c r="G14" s="46">
        <f>SUM(G6:G13)</f>
        <v>13166127448.5</v>
      </c>
      <c r="H14" s="23"/>
      <c r="J14" s="75"/>
      <c r="K14" s="75"/>
      <c r="L14" s="75"/>
      <c r="M14" s="75"/>
      <c r="N14" s="75"/>
      <c r="O14" s="75"/>
      <c r="P14" s="75"/>
      <c r="Q14" s="75"/>
      <c r="R14" s="75"/>
      <c r="S14" s="40"/>
      <c r="T14" s="76"/>
      <c r="U14" s="76"/>
      <c r="V14" s="76"/>
      <c r="W14" s="76"/>
    </row>
    <row r="15" spans="1:23" x14ac:dyDescent="0.25">
      <c r="J15" s="75"/>
      <c r="K15" s="75"/>
      <c r="L15" s="75"/>
      <c r="M15" s="75"/>
      <c r="N15" s="75"/>
      <c r="O15" s="75"/>
      <c r="P15" s="75"/>
      <c r="Q15" s="75"/>
      <c r="R15" s="75"/>
      <c r="S15" s="40"/>
      <c r="T15" s="76"/>
      <c r="U15" s="76"/>
      <c r="V15" s="76"/>
      <c r="W15" s="76"/>
    </row>
    <row r="16" spans="1:23" ht="15" customHeight="1" x14ac:dyDescent="0.25">
      <c r="A16" s="56" t="s">
        <v>293</v>
      </c>
      <c r="B16" s="56"/>
      <c r="C16" s="56"/>
      <c r="D16" s="56"/>
      <c r="E16" s="56"/>
      <c r="F16" s="56"/>
      <c r="G16" s="56"/>
      <c r="H16" s="56"/>
      <c r="J16" s="75"/>
      <c r="K16" s="75"/>
      <c r="L16" s="75"/>
      <c r="M16" s="75"/>
      <c r="N16" s="75"/>
      <c r="O16" s="75"/>
      <c r="P16" s="75"/>
      <c r="Q16" s="75"/>
      <c r="R16" s="75"/>
      <c r="S16" s="40"/>
      <c r="T16" s="76"/>
      <c r="U16" s="76"/>
      <c r="V16" s="76"/>
      <c r="W16" s="76"/>
    </row>
    <row r="17" spans="1:23" ht="31.5" customHeight="1" x14ac:dyDescent="0.25">
      <c r="A17" s="19">
        <v>1</v>
      </c>
      <c r="B17" s="8" t="s">
        <v>294</v>
      </c>
      <c r="C17" s="10" t="s">
        <v>176</v>
      </c>
      <c r="D17" s="9">
        <v>1</v>
      </c>
      <c r="E17" s="21">
        <v>14915384.82</v>
      </c>
      <c r="F17" s="9">
        <v>36</v>
      </c>
      <c r="G17" s="45">
        <f>ROUND(D17*E17*F17,2)</f>
        <v>536953853.51999998</v>
      </c>
      <c r="H17" s="4" t="s">
        <v>295</v>
      </c>
      <c r="J17" s="38">
        <v>54282978.689999998</v>
      </c>
      <c r="K17" s="38">
        <v>28945025.296023741</v>
      </c>
      <c r="L17" s="38">
        <v>17403750</v>
      </c>
      <c r="M17" s="38">
        <v>17253600</v>
      </c>
      <c r="N17" s="38">
        <v>20300000</v>
      </c>
      <c r="O17" s="38">
        <v>11400000</v>
      </c>
      <c r="P17" s="38">
        <v>15282242.48</v>
      </c>
      <c r="Q17" s="38">
        <v>42000000</v>
      </c>
      <c r="R17" s="38">
        <v>57898900</v>
      </c>
      <c r="S17" s="40"/>
      <c r="T17" s="35">
        <f t="shared" si="1"/>
        <v>11400000</v>
      </c>
      <c r="U17" s="35">
        <f t="shared" si="2"/>
        <v>57898900</v>
      </c>
      <c r="V17" s="35">
        <f>+ROUND(AVERAGE(K17,L17,M17,N17,O17,P17),2)</f>
        <v>18430769.629999999</v>
      </c>
      <c r="W17" s="35">
        <f t="shared" si="3"/>
        <v>14915384.82</v>
      </c>
    </row>
    <row r="18" spans="1:23" ht="31.5" customHeight="1" x14ac:dyDescent="0.25">
      <c r="A18" s="19">
        <v>2</v>
      </c>
      <c r="B18" s="8" t="s">
        <v>296</v>
      </c>
      <c r="C18" s="10" t="s">
        <v>297</v>
      </c>
      <c r="D18" s="9">
        <v>250</v>
      </c>
      <c r="E18" s="21">
        <v>413516.38</v>
      </c>
      <c r="F18" s="9">
        <v>1</v>
      </c>
      <c r="G18" s="45">
        <f>ROUND(D18*E18*F18,2)</f>
        <v>103379095</v>
      </c>
      <c r="H18" s="4" t="s">
        <v>298</v>
      </c>
      <c r="J18" s="38">
        <v>217131.91</v>
      </c>
      <c r="K18" s="38">
        <v>1085438.4486008901</v>
      </c>
      <c r="L18" s="38">
        <v>1194593.3999999999</v>
      </c>
      <c r="M18" s="38">
        <v>7328998.5999999996</v>
      </c>
      <c r="N18" s="38">
        <v>8750000</v>
      </c>
      <c r="O18" s="38">
        <v>342000</v>
      </c>
      <c r="P18" s="38">
        <v>6756934.2400000002</v>
      </c>
      <c r="Q18" s="38">
        <v>216000</v>
      </c>
      <c r="R18" s="38">
        <v>3474000</v>
      </c>
      <c r="S18" s="40"/>
      <c r="T18" s="35">
        <f t="shared" si="1"/>
        <v>216000</v>
      </c>
      <c r="U18" s="35">
        <f t="shared" si="2"/>
        <v>8750000</v>
      </c>
      <c r="V18" s="35">
        <f>+ROUND(AVERAGE(J18,K18,L18,O18,Q18),2)</f>
        <v>611032.75</v>
      </c>
      <c r="W18" s="35">
        <f t="shared" si="3"/>
        <v>413516.38</v>
      </c>
    </row>
    <row r="19" spans="1:23" x14ac:dyDescent="0.25">
      <c r="A19" s="52" t="s">
        <v>299</v>
      </c>
      <c r="B19" s="52"/>
      <c r="C19" s="52"/>
      <c r="D19" s="52"/>
      <c r="E19" s="52"/>
      <c r="F19" s="52"/>
      <c r="G19" s="46">
        <f>SUM(G17:G18)</f>
        <v>640332948.51999998</v>
      </c>
      <c r="H19" s="23"/>
    </row>
    <row r="21" spans="1:23" ht="30" customHeight="1" x14ac:dyDescent="0.25">
      <c r="A21" s="53" t="s">
        <v>300</v>
      </c>
      <c r="B21" s="53"/>
      <c r="C21" s="53"/>
      <c r="D21" s="53"/>
      <c r="E21" s="53"/>
      <c r="F21" s="53"/>
      <c r="G21" s="48">
        <f>G14+G19</f>
        <v>13806460397.02</v>
      </c>
      <c r="H21" s="24"/>
    </row>
    <row r="23" spans="1:23" x14ac:dyDescent="0.25">
      <c r="G23" s="39"/>
    </row>
  </sheetData>
  <mergeCells count="7">
    <mergeCell ref="A19:F19"/>
    <mergeCell ref="A21:F21"/>
    <mergeCell ref="A1:H1"/>
    <mergeCell ref="A2:H2"/>
    <mergeCell ref="A5:H5"/>
    <mergeCell ref="A14:F14"/>
    <mergeCell ref="A16:H16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A57"/>
  <sheetViews>
    <sheetView topLeftCell="K1" zoomScaleNormal="100" workbookViewId="0">
      <selection activeCell="L6" sqref="L6:Y52"/>
    </sheetView>
  </sheetViews>
  <sheetFormatPr baseColWidth="10" defaultColWidth="8.42578125" defaultRowHeight="15" x14ac:dyDescent="0.25"/>
  <cols>
    <col min="1" max="1" width="6" customWidth="1"/>
    <col min="2" max="2" width="42" customWidth="1"/>
    <col min="3" max="3" width="10" customWidth="1"/>
    <col min="4" max="4" width="8" customWidth="1"/>
    <col min="5" max="5" width="9" customWidth="1"/>
    <col min="6" max="6" width="18" customWidth="1"/>
    <col min="7" max="7" width="10" customWidth="1"/>
    <col min="8" max="8" width="18" customWidth="1"/>
    <col min="9" max="9" width="8" customWidth="1"/>
    <col min="10" max="10" width="24.140625" bestFit="1" customWidth="1"/>
    <col min="11" max="11" width="3.85546875" customWidth="1"/>
    <col min="12" max="12" width="16.7109375" customWidth="1"/>
    <col min="13" max="13" width="23.42578125" customWidth="1"/>
    <col min="14" max="20" width="16.7109375" customWidth="1"/>
    <col min="22" max="25" width="16.85546875" customWidth="1"/>
    <col min="27" max="27" width="15.5703125" bestFit="1" customWidth="1"/>
  </cols>
  <sheetData>
    <row r="1" spans="1:27" ht="30" customHeight="1" x14ac:dyDescent="0.25">
      <c r="A1" s="54" t="s">
        <v>301</v>
      </c>
      <c r="B1" s="54"/>
      <c r="C1" s="54"/>
      <c r="D1" s="54"/>
      <c r="E1" s="54"/>
      <c r="F1" s="54"/>
      <c r="G1" s="54"/>
      <c r="H1" s="54"/>
      <c r="I1" s="54"/>
      <c r="J1" s="54"/>
    </row>
    <row r="2" spans="1:27" ht="15" customHeight="1" x14ac:dyDescent="0.25">
      <c r="A2" s="55" t="s">
        <v>302</v>
      </c>
      <c r="B2" s="55"/>
      <c r="C2" s="55"/>
      <c r="D2" s="55"/>
      <c r="E2" s="55"/>
      <c r="F2" s="55"/>
      <c r="G2" s="55"/>
      <c r="H2" s="55"/>
      <c r="I2" s="55"/>
      <c r="J2" s="55"/>
    </row>
    <row r="4" spans="1:27" ht="39.75" customHeight="1" x14ac:dyDescent="0.25">
      <c r="A4" s="1" t="s">
        <v>3</v>
      </c>
      <c r="B4" s="1" t="s">
        <v>303</v>
      </c>
      <c r="C4" s="1" t="s">
        <v>304</v>
      </c>
      <c r="D4" s="1" t="s">
        <v>305</v>
      </c>
      <c r="E4" s="1" t="s">
        <v>306</v>
      </c>
      <c r="F4" s="1" t="s">
        <v>307</v>
      </c>
      <c r="G4" s="1" t="s">
        <v>308</v>
      </c>
      <c r="H4" s="1" t="s">
        <v>309</v>
      </c>
      <c r="I4" s="1" t="s">
        <v>146</v>
      </c>
      <c r="J4" s="1" t="s">
        <v>310</v>
      </c>
      <c r="L4" s="27" t="s">
        <v>403</v>
      </c>
      <c r="M4" s="27" t="s">
        <v>404</v>
      </c>
      <c r="N4" s="27" t="s">
        <v>405</v>
      </c>
      <c r="O4" s="27" t="s">
        <v>406</v>
      </c>
      <c r="P4" s="27" t="s">
        <v>407</v>
      </c>
      <c r="Q4" s="27" t="s">
        <v>408</v>
      </c>
      <c r="R4" s="27" t="s">
        <v>409</v>
      </c>
      <c r="S4" s="27" t="s">
        <v>410</v>
      </c>
      <c r="T4" s="27" t="s">
        <v>411</v>
      </c>
      <c r="V4" s="27" t="s">
        <v>414</v>
      </c>
      <c r="W4" s="27" t="s">
        <v>415</v>
      </c>
      <c r="X4" s="27" t="s">
        <v>412</v>
      </c>
      <c r="Y4" s="27" t="s">
        <v>413</v>
      </c>
    </row>
    <row r="5" spans="1:27" ht="21.75" customHeight="1" x14ac:dyDescent="0.25">
      <c r="A5" s="71" t="s">
        <v>311</v>
      </c>
      <c r="B5" s="71"/>
      <c r="C5" s="71"/>
      <c r="D5" s="71"/>
      <c r="E5" s="71"/>
      <c r="F5" s="71"/>
      <c r="G5" s="71"/>
      <c r="H5" s="71"/>
      <c r="I5" s="71"/>
      <c r="J5" s="71"/>
    </row>
    <row r="6" spans="1:27" ht="24.75" customHeight="1" x14ac:dyDescent="0.25">
      <c r="A6" s="19">
        <v>1</v>
      </c>
      <c r="B6" s="8" t="s">
        <v>312</v>
      </c>
      <c r="C6" s="2" t="s">
        <v>313</v>
      </c>
      <c r="D6" s="9">
        <v>1</v>
      </c>
      <c r="E6" s="12">
        <v>1</v>
      </c>
      <c r="F6" s="21">
        <v>26043338.940000001</v>
      </c>
      <c r="G6" s="25">
        <f>'1. Parámetros'!$B$28</f>
        <v>1.85</v>
      </c>
      <c r="H6" s="26">
        <f>D6*E6*F6*G6</f>
        <v>48180177.039000005</v>
      </c>
      <c r="I6" s="20">
        <f>'1. Parámetros'!$B$4</f>
        <v>36</v>
      </c>
      <c r="J6" s="45">
        <f>ROUND(H6*I6,2)</f>
        <v>1734486373.4000001</v>
      </c>
      <c r="L6" s="38">
        <v>30157210.390000001</v>
      </c>
      <c r="M6" s="38">
        <v>18486486.48</v>
      </c>
      <c r="N6" s="38">
        <v>30362997.841812387</v>
      </c>
      <c r="O6" s="38">
        <v>35275000</v>
      </c>
      <c r="P6" s="38">
        <v>30750000</v>
      </c>
      <c r="Q6" s="38">
        <v>20460000</v>
      </c>
      <c r="R6" s="38">
        <v>54487040</v>
      </c>
      <c r="S6" s="38">
        <v>17752982.399999999</v>
      </c>
      <c r="T6" s="38">
        <v>16383900</v>
      </c>
      <c r="U6" s="40"/>
      <c r="V6" s="35">
        <f>+MIN(L6:T6)</f>
        <v>16383900</v>
      </c>
      <c r="W6" s="35">
        <f>+MAX(L6:T6)</f>
        <v>54487040</v>
      </c>
      <c r="X6" s="35">
        <f>+ROUND(AVERAGE(L6,M6,N6,P6,Q6),2)</f>
        <v>26043338.940000001</v>
      </c>
      <c r="Y6" s="35">
        <f>+ROUND(AVERAGE(X6,V6),2)</f>
        <v>21213619.469999999</v>
      </c>
    </row>
    <row r="7" spans="1:27" ht="27" customHeight="1" x14ac:dyDescent="0.25">
      <c r="A7" s="19">
        <v>2</v>
      </c>
      <c r="B7" s="8" t="s">
        <v>314</v>
      </c>
      <c r="C7" s="2" t="s">
        <v>313</v>
      </c>
      <c r="D7" s="9">
        <v>1</v>
      </c>
      <c r="E7" s="12">
        <v>1</v>
      </c>
      <c r="F7" s="21">
        <v>21279617.760000002</v>
      </c>
      <c r="G7" s="25">
        <f>'1. Parámetros'!$B$28</f>
        <v>1.85</v>
      </c>
      <c r="H7" s="26">
        <f>D7*E7*F7*G7</f>
        <v>39367292.856000006</v>
      </c>
      <c r="I7" s="20">
        <f>'1. Parámetros'!$B$4</f>
        <v>36</v>
      </c>
      <c r="J7" s="45">
        <f t="shared" ref="J7:J9" si="0">ROUND(H7*I7,2)</f>
        <v>1417222542.8199999</v>
      </c>
      <c r="L7" s="38">
        <v>33776075.630000003</v>
      </c>
      <c r="M7" s="38">
        <v>14594594.6</v>
      </c>
      <c r="N7" s="38">
        <v>25319418.218431447</v>
      </c>
      <c r="O7" s="38">
        <v>32300000</v>
      </c>
      <c r="P7" s="38">
        <v>33750000</v>
      </c>
      <c r="Q7" s="38">
        <v>20460000</v>
      </c>
      <c r="R7" s="38">
        <v>48720640.000000007</v>
      </c>
      <c r="S7" s="38">
        <v>22182351.599999998</v>
      </c>
      <c r="T7" s="38">
        <v>18828600</v>
      </c>
      <c r="U7" s="40"/>
      <c r="V7" s="35">
        <f t="shared" ref="V7:V52" si="1">+MIN(L7:T7)</f>
        <v>14594594.6</v>
      </c>
      <c r="W7" s="35">
        <f t="shared" ref="W7:W52" si="2">+MAX(L7:T7)</f>
        <v>48720640.000000007</v>
      </c>
      <c r="X7" s="35">
        <f>+ROUND(AVERAGE(L7,N7,O7,P7,Q7,S7),2)</f>
        <v>27964640.91</v>
      </c>
      <c r="Y7" s="35">
        <f t="shared" ref="Y7:Y52" si="3">+ROUND(AVERAGE(X7,V7),2)</f>
        <v>21279617.760000002</v>
      </c>
    </row>
    <row r="8" spans="1:27" x14ac:dyDescent="0.25">
      <c r="A8" s="19">
        <v>3</v>
      </c>
      <c r="B8" s="8" t="s">
        <v>315</v>
      </c>
      <c r="C8" s="2" t="s">
        <v>313</v>
      </c>
      <c r="D8" s="9">
        <v>1</v>
      </c>
      <c r="E8" s="12">
        <v>1</v>
      </c>
      <c r="F8" s="21">
        <v>18514730.079999998</v>
      </c>
      <c r="G8" s="25">
        <f>'1. Parámetros'!$B$28</f>
        <v>1.85</v>
      </c>
      <c r="H8" s="26">
        <f>D8*E8*F8*G8</f>
        <v>34252250.648000002</v>
      </c>
      <c r="I8" s="20">
        <f>'1. Parámetros'!$B$4</f>
        <v>36</v>
      </c>
      <c r="J8" s="45">
        <f t="shared" si="0"/>
        <v>1233081023.3299999</v>
      </c>
      <c r="L8" s="38">
        <v>26538345.140000001</v>
      </c>
      <c r="M8" s="38">
        <v>13486486.48</v>
      </c>
      <c r="N8" s="38">
        <v>23056894.013301596</v>
      </c>
      <c r="O8" s="38">
        <v>19975000</v>
      </c>
      <c r="P8" s="38">
        <v>22500000</v>
      </c>
      <c r="Q8" s="38">
        <v>17670000</v>
      </c>
      <c r="R8" s="38">
        <v>30464000</v>
      </c>
      <c r="S8" s="38">
        <v>14400000</v>
      </c>
      <c r="T8" s="38">
        <v>11562900</v>
      </c>
      <c r="U8" s="40"/>
      <c r="V8" s="35">
        <f t="shared" si="1"/>
        <v>11562900</v>
      </c>
      <c r="W8" s="35">
        <f t="shared" si="2"/>
        <v>30464000</v>
      </c>
      <c r="X8" s="35">
        <f>+ROUND(AVERAGE(M8,N8,O8,P8,Q8,S8),2)</f>
        <v>18514730.079999998</v>
      </c>
      <c r="Y8" s="35">
        <f t="shared" si="3"/>
        <v>15038815.039999999</v>
      </c>
    </row>
    <row r="9" spans="1:27" ht="24.75" customHeight="1" x14ac:dyDescent="0.25">
      <c r="A9" s="19">
        <v>4</v>
      </c>
      <c r="B9" s="8" t="s">
        <v>316</v>
      </c>
      <c r="C9" s="2" t="s">
        <v>313</v>
      </c>
      <c r="D9" s="9">
        <v>1</v>
      </c>
      <c r="E9" s="12">
        <v>1</v>
      </c>
      <c r="F9" s="21">
        <v>16791670.91</v>
      </c>
      <c r="G9" s="25">
        <f>'1. Parámetros'!$B$28</f>
        <v>1.85</v>
      </c>
      <c r="H9" s="26">
        <f>D9*E9*F9*G9</f>
        <v>31064591.183500003</v>
      </c>
      <c r="I9" s="20">
        <f>'1. Parámetros'!$B$27</f>
        <v>10</v>
      </c>
      <c r="J9" s="45">
        <f t="shared" si="0"/>
        <v>310645911.83999997</v>
      </c>
      <c r="L9" s="38">
        <v>24125768.309999999</v>
      </c>
      <c r="M9" s="38">
        <v>8432432.4299999997</v>
      </c>
      <c r="N9" s="38">
        <v>21109225.436935797</v>
      </c>
      <c r="O9" s="38">
        <v>16575000</v>
      </c>
      <c r="P9" s="38">
        <v>21000000</v>
      </c>
      <c r="Q9" s="38">
        <v>16739999.999999998</v>
      </c>
      <c r="R9" s="38">
        <v>26242560.000000004</v>
      </c>
      <c r="S9" s="38">
        <v>16200000</v>
      </c>
      <c r="T9" s="38">
        <v>9125800</v>
      </c>
      <c r="U9" s="40"/>
      <c r="V9" s="35">
        <f t="shared" si="1"/>
        <v>8432432.4299999997</v>
      </c>
      <c r="W9" s="35">
        <f t="shared" si="2"/>
        <v>26242560.000000004</v>
      </c>
      <c r="X9" s="35">
        <f>+ROUND(AVERAGE(N9,O9,P9,Q9,S9,T9),2)</f>
        <v>16791670.91</v>
      </c>
      <c r="Y9" s="35">
        <f t="shared" si="3"/>
        <v>12612051.67</v>
      </c>
    </row>
    <row r="10" spans="1:27" ht="21.75" customHeight="1" x14ac:dyDescent="0.25">
      <c r="A10" s="71" t="s">
        <v>317</v>
      </c>
      <c r="B10" s="71"/>
      <c r="C10" s="71"/>
      <c r="D10" s="71"/>
      <c r="E10" s="71"/>
      <c r="F10" s="71"/>
      <c r="G10" s="71"/>
      <c r="H10" s="71"/>
      <c r="I10" s="71"/>
      <c r="J10" s="71"/>
      <c r="L10" s="75"/>
      <c r="M10" s="75"/>
      <c r="N10" s="75"/>
      <c r="O10" s="75"/>
      <c r="P10" s="75"/>
      <c r="Q10" s="75"/>
      <c r="R10" s="75"/>
      <c r="S10" s="75"/>
      <c r="T10" s="75"/>
      <c r="U10" s="40"/>
      <c r="V10" s="76"/>
      <c r="W10" s="76"/>
      <c r="X10" s="76"/>
      <c r="Y10" s="76"/>
    </row>
    <row r="11" spans="1:27" x14ac:dyDescent="0.25">
      <c r="A11" s="19">
        <v>5</v>
      </c>
      <c r="B11" s="8" t="s">
        <v>318</v>
      </c>
      <c r="C11" s="2" t="s">
        <v>319</v>
      </c>
      <c r="D11" s="9">
        <v>1</v>
      </c>
      <c r="E11" s="12">
        <v>1</v>
      </c>
      <c r="F11" s="21">
        <v>11015994.75</v>
      </c>
      <c r="G11" s="25">
        <f>'1. Parámetros'!$B$28</f>
        <v>1.85</v>
      </c>
      <c r="H11" s="26">
        <f t="shared" ref="H11:H16" si="4">D11*E11*F11*G11</f>
        <v>20379590.287500001</v>
      </c>
      <c r="I11" s="20">
        <f>'1. Parámetros'!$B$4</f>
        <v>36</v>
      </c>
      <c r="J11" s="45">
        <f>ROUND(H11*I11,2)</f>
        <v>733665250.35000002</v>
      </c>
      <c r="L11" s="38">
        <v>10856595.73</v>
      </c>
      <c r="M11" s="38">
        <v>10378378</v>
      </c>
      <c r="N11" s="38">
        <v>20661721.645468939</v>
      </c>
      <c r="O11" s="38">
        <v>11475000</v>
      </c>
      <c r="P11" s="38">
        <v>14000000</v>
      </c>
      <c r="Q11" s="38">
        <v>8369999.9999999991</v>
      </c>
      <c r="R11" s="38">
        <v>18844160</v>
      </c>
      <c r="S11" s="38">
        <v>17605034.399999999</v>
      </c>
      <c r="T11" s="38">
        <v>7372100</v>
      </c>
      <c r="U11" s="40"/>
      <c r="V11" s="35">
        <f t="shared" si="1"/>
        <v>7372100</v>
      </c>
      <c r="W11" s="35">
        <f t="shared" si="2"/>
        <v>20661721.645468939</v>
      </c>
      <c r="X11" s="35">
        <f>+ROUND(AVERAGE(L11,M11,O11,P11,Q11),2)</f>
        <v>11015994.75</v>
      </c>
      <c r="Y11" s="35">
        <f t="shared" si="3"/>
        <v>9194047.3800000008</v>
      </c>
      <c r="AA11" s="30"/>
    </row>
    <row r="12" spans="1:27" x14ac:dyDescent="0.25">
      <c r="A12" s="19">
        <v>6</v>
      </c>
      <c r="B12" s="8" t="s">
        <v>320</v>
      </c>
      <c r="C12" s="2" t="s">
        <v>319</v>
      </c>
      <c r="D12" s="9">
        <v>1</v>
      </c>
      <c r="E12" s="12">
        <v>1</v>
      </c>
      <c r="F12" s="21">
        <v>11015994.75</v>
      </c>
      <c r="G12" s="25">
        <f>'1. Parámetros'!$B$28</f>
        <v>1.85</v>
      </c>
      <c r="H12" s="26">
        <f t="shared" si="4"/>
        <v>20379590.287500001</v>
      </c>
      <c r="I12" s="20">
        <f>'1. Parámetros'!$B$4</f>
        <v>36</v>
      </c>
      <c r="J12" s="45">
        <f t="shared" ref="J12:J16" si="5">ROUND(H12*I12,2)</f>
        <v>733665250.35000002</v>
      </c>
      <c r="L12" s="38">
        <v>10856595.73</v>
      </c>
      <c r="M12" s="38">
        <v>10378378</v>
      </c>
      <c r="N12" s="38">
        <v>20661721.645468939</v>
      </c>
      <c r="O12" s="38">
        <v>11475000</v>
      </c>
      <c r="P12" s="38">
        <v>14000000</v>
      </c>
      <c r="Q12" s="38">
        <v>8369999.9999999991</v>
      </c>
      <c r="R12" s="38">
        <v>17429760</v>
      </c>
      <c r="S12" s="38">
        <v>17605034.399999999</v>
      </c>
      <c r="T12" s="38">
        <v>7372100</v>
      </c>
      <c r="U12" s="40"/>
      <c r="V12" s="35">
        <f t="shared" si="1"/>
        <v>7372100</v>
      </c>
      <c r="W12" s="35">
        <f t="shared" si="2"/>
        <v>20661721.645468939</v>
      </c>
      <c r="X12" s="35">
        <f>+ROUND(AVERAGE(L12,M12,O12,P12,Q12),2)</f>
        <v>11015994.75</v>
      </c>
      <c r="Y12" s="35">
        <f t="shared" si="3"/>
        <v>9194047.3800000008</v>
      </c>
      <c r="AA12" s="30"/>
    </row>
    <row r="13" spans="1:27" x14ac:dyDescent="0.25">
      <c r="A13" s="19">
        <v>7</v>
      </c>
      <c r="B13" s="8" t="s">
        <v>321</v>
      </c>
      <c r="C13" s="2" t="s">
        <v>319</v>
      </c>
      <c r="D13" s="9">
        <v>1</v>
      </c>
      <c r="E13" s="12">
        <v>1</v>
      </c>
      <c r="F13" s="21">
        <v>10725365.91</v>
      </c>
      <c r="G13" s="25">
        <f>'1. Parámetros'!$B$28</f>
        <v>1.85</v>
      </c>
      <c r="H13" s="26">
        <f t="shared" si="4"/>
        <v>19841926.933500003</v>
      </c>
      <c r="I13" s="20">
        <f>'1. Parámetros'!$B$4</f>
        <v>36</v>
      </c>
      <c r="J13" s="45">
        <f t="shared" si="5"/>
        <v>714309369.61000001</v>
      </c>
      <c r="L13" s="38">
        <v>10253451.529999999</v>
      </c>
      <c r="M13" s="38">
        <v>10378378</v>
      </c>
      <c r="N13" s="38">
        <v>19122596.340511691</v>
      </c>
      <c r="O13" s="38">
        <v>10625000</v>
      </c>
      <c r="P13" s="38">
        <v>14000000</v>
      </c>
      <c r="Q13" s="38">
        <v>8369999.9999999991</v>
      </c>
      <c r="R13" s="38">
        <v>15895680</v>
      </c>
      <c r="S13" s="38">
        <v>17605034.399999999</v>
      </c>
      <c r="T13" s="38">
        <v>5899200</v>
      </c>
      <c r="U13" s="40"/>
      <c r="V13" s="35">
        <f t="shared" si="1"/>
        <v>5899200</v>
      </c>
      <c r="W13" s="35">
        <f t="shared" si="2"/>
        <v>19122596.340511691</v>
      </c>
      <c r="X13" s="35">
        <f>+ROUND(AVERAGE(L13,M13,O13,P13,Q13),2)</f>
        <v>10725365.91</v>
      </c>
      <c r="Y13" s="35">
        <f t="shared" si="3"/>
        <v>8312282.96</v>
      </c>
      <c r="AA13" s="30"/>
    </row>
    <row r="14" spans="1:27" ht="24.75" customHeight="1" x14ac:dyDescent="0.25">
      <c r="A14" s="19">
        <v>8</v>
      </c>
      <c r="B14" s="8" t="s">
        <v>322</v>
      </c>
      <c r="C14" s="2" t="s">
        <v>319</v>
      </c>
      <c r="D14" s="9">
        <v>2</v>
      </c>
      <c r="E14" s="12">
        <v>1</v>
      </c>
      <c r="F14" s="21">
        <v>12818767.800000001</v>
      </c>
      <c r="G14" s="25">
        <f>'1. Parámetros'!$B$28</f>
        <v>1.85</v>
      </c>
      <c r="H14" s="26">
        <f t="shared" si="4"/>
        <v>47429440.860000007</v>
      </c>
      <c r="I14" s="20">
        <f>'1. Parámetros'!$B$4</f>
        <v>36</v>
      </c>
      <c r="J14" s="45">
        <f t="shared" si="5"/>
        <v>1707459870.96</v>
      </c>
      <c r="L14" s="38">
        <v>14475460.98</v>
      </c>
      <c r="M14" s="38">
        <v>10378378</v>
      </c>
      <c r="N14" s="38">
        <v>21489147.124687701</v>
      </c>
      <c r="O14" s="38">
        <v>20400000</v>
      </c>
      <c r="P14" s="38">
        <v>15750000</v>
      </c>
      <c r="Q14" s="38">
        <v>12090000</v>
      </c>
      <c r="R14" s="38">
        <v>31878400</v>
      </c>
      <c r="S14" s="38">
        <v>11400000</v>
      </c>
      <c r="T14" s="38">
        <v>7592300</v>
      </c>
      <c r="U14" s="40"/>
      <c r="V14" s="35">
        <f t="shared" si="1"/>
        <v>7592300</v>
      </c>
      <c r="W14" s="35">
        <f t="shared" si="2"/>
        <v>31878400</v>
      </c>
      <c r="X14" s="35">
        <f>+ROUND(AVERAGE(L14,M14,P14,Q14,S14),2)</f>
        <v>12818767.800000001</v>
      </c>
      <c r="Y14" s="35">
        <f t="shared" si="3"/>
        <v>10205533.9</v>
      </c>
    </row>
    <row r="15" spans="1:27" ht="24.75" customHeight="1" x14ac:dyDescent="0.25">
      <c r="A15" s="19">
        <v>9</v>
      </c>
      <c r="B15" s="8" t="s">
        <v>323</v>
      </c>
      <c r="C15" s="2" t="s">
        <v>319</v>
      </c>
      <c r="D15" s="9">
        <v>1</v>
      </c>
      <c r="E15" s="12">
        <v>1</v>
      </c>
      <c r="F15" s="21">
        <v>14197283.16</v>
      </c>
      <c r="G15" s="25">
        <f>'1. Parámetros'!$B$28</f>
        <v>1.85</v>
      </c>
      <c r="H15" s="26">
        <f t="shared" si="4"/>
        <v>26264973.846000001</v>
      </c>
      <c r="I15" s="20">
        <f>'1. Parámetros'!$B$4</f>
        <v>36</v>
      </c>
      <c r="J15" s="45">
        <f t="shared" si="5"/>
        <v>945539058.46000004</v>
      </c>
      <c r="L15" s="38">
        <v>16888037.809999999</v>
      </c>
      <c r="M15" s="38">
        <v>10378378</v>
      </c>
      <c r="N15" s="38">
        <v>22989323.147736721</v>
      </c>
      <c r="O15" s="38">
        <v>19975000</v>
      </c>
      <c r="P15" s="38">
        <v>17500000</v>
      </c>
      <c r="Q15" s="38">
        <v>13020000</v>
      </c>
      <c r="R15" s="38">
        <v>31976320</v>
      </c>
      <c r="S15" s="38">
        <v>13200000</v>
      </c>
      <c r="T15" s="38">
        <v>8844900</v>
      </c>
      <c r="U15" s="40"/>
      <c r="V15" s="35">
        <f t="shared" si="1"/>
        <v>8844900</v>
      </c>
      <c r="W15" s="35">
        <f t="shared" si="2"/>
        <v>31976320</v>
      </c>
      <c r="X15" s="35">
        <f>+ROUND(AVERAGE(L15,M15,P15,Q15,S15),2)</f>
        <v>14197283.16</v>
      </c>
      <c r="Y15" s="35">
        <f t="shared" si="3"/>
        <v>11521091.58</v>
      </c>
    </row>
    <row r="16" spans="1:27" x14ac:dyDescent="0.25">
      <c r="A16" s="19">
        <v>10</v>
      </c>
      <c r="B16" s="37" t="s">
        <v>324</v>
      </c>
      <c r="C16" s="2" t="s">
        <v>319</v>
      </c>
      <c r="D16" s="9">
        <v>4</v>
      </c>
      <c r="E16" s="12">
        <v>1</v>
      </c>
      <c r="F16" s="21">
        <v>7940668.6500000004</v>
      </c>
      <c r="G16" s="25">
        <f>'1. Parámetros'!$B$28</f>
        <v>1.85</v>
      </c>
      <c r="H16" s="26">
        <f t="shared" si="4"/>
        <v>58760948.010000005</v>
      </c>
      <c r="I16" s="20">
        <f>'1. Parámetros'!$B$4</f>
        <v>36</v>
      </c>
      <c r="J16" s="45">
        <f t="shared" si="5"/>
        <v>2115394128.3599999</v>
      </c>
      <c r="L16" s="38">
        <v>8444018.9100000001</v>
      </c>
      <c r="M16" s="38">
        <v>6324324.3200000003</v>
      </c>
      <c r="N16" s="38">
        <v>13260941.21158275</v>
      </c>
      <c r="O16" s="38">
        <v>10625000</v>
      </c>
      <c r="P16" s="38">
        <v>14000000</v>
      </c>
      <c r="Q16" s="38">
        <v>6510000</v>
      </c>
      <c r="R16" s="38">
        <v>17201280</v>
      </c>
      <c r="S16" s="38">
        <v>7800000</v>
      </c>
      <c r="T16" s="38">
        <v>3796200</v>
      </c>
      <c r="U16" s="40"/>
      <c r="V16" s="35">
        <f t="shared" si="1"/>
        <v>3796200</v>
      </c>
      <c r="W16" s="35">
        <f t="shared" si="2"/>
        <v>17201280</v>
      </c>
      <c r="X16" s="35">
        <f>+ROUND(AVERAGE(L16,M16,O16,Q16,S16),2)</f>
        <v>7940668.6500000004</v>
      </c>
      <c r="Y16" s="35">
        <f t="shared" si="3"/>
        <v>5868434.3300000001</v>
      </c>
    </row>
    <row r="17" spans="1:25" ht="21.75" customHeight="1" x14ac:dyDescent="0.25">
      <c r="A17" s="71" t="s">
        <v>325</v>
      </c>
      <c r="B17" s="71"/>
      <c r="C17" s="71"/>
      <c r="D17" s="71"/>
      <c r="E17" s="71"/>
      <c r="F17" s="71"/>
      <c r="G17" s="71"/>
      <c r="H17" s="71"/>
      <c r="I17" s="71"/>
      <c r="J17" s="71"/>
      <c r="L17" s="75"/>
      <c r="M17" s="75"/>
      <c r="N17" s="75"/>
      <c r="O17" s="75"/>
      <c r="P17" s="75"/>
      <c r="Q17" s="75"/>
      <c r="R17" s="75"/>
      <c r="S17" s="75"/>
      <c r="T17" s="75"/>
      <c r="U17" s="40"/>
      <c r="V17" s="76"/>
      <c r="W17" s="76"/>
      <c r="X17" s="76"/>
      <c r="Y17" s="76"/>
    </row>
    <row r="18" spans="1:25" ht="24.75" customHeight="1" x14ac:dyDescent="0.25">
      <c r="A18" s="19">
        <v>11</v>
      </c>
      <c r="B18" s="8" t="s">
        <v>326</v>
      </c>
      <c r="C18" s="2" t="s">
        <v>327</v>
      </c>
      <c r="D18" s="9">
        <v>1</v>
      </c>
      <c r="E18" s="12">
        <v>1</v>
      </c>
      <c r="F18" s="21">
        <v>19442729.77</v>
      </c>
      <c r="G18" s="25">
        <f>'1. Parámetros'!$B$28</f>
        <v>1.85</v>
      </c>
      <c r="H18" s="26">
        <f t="shared" ref="H18:H30" si="6">D18*E18*F18*G18</f>
        <v>35969050.074500002</v>
      </c>
      <c r="I18" s="20">
        <f>'1. Parámetros'!$B$4</f>
        <v>36</v>
      </c>
      <c r="J18" s="45">
        <f>ROUND(H18*I18,2)</f>
        <v>1294885802.6800001</v>
      </c>
      <c r="L18" s="38">
        <v>31363498.809999999</v>
      </c>
      <c r="M18" s="38">
        <v>15175675.67</v>
      </c>
      <c r="N18" s="38">
        <v>33573382.761874035</v>
      </c>
      <c r="O18" s="38">
        <v>47000000</v>
      </c>
      <c r="P18" s="38">
        <v>35500000</v>
      </c>
      <c r="Q18" s="38">
        <v>20460000</v>
      </c>
      <c r="R18" s="38">
        <v>56891520</v>
      </c>
      <c r="S18" s="38">
        <v>19800000</v>
      </c>
      <c r="T18" s="38">
        <v>12906700</v>
      </c>
      <c r="U18" s="40"/>
      <c r="V18" s="35">
        <f t="shared" si="1"/>
        <v>12906700</v>
      </c>
      <c r="W18" s="35">
        <f t="shared" si="2"/>
        <v>56891520</v>
      </c>
      <c r="X18" s="35">
        <f>+ROUND(AVERAGE(L18,M18,N18,P18,Q18,S18),2)</f>
        <v>25978759.539999999</v>
      </c>
      <c r="Y18" s="35">
        <f t="shared" si="3"/>
        <v>19442729.77</v>
      </c>
    </row>
    <row r="19" spans="1:25" x14ac:dyDescent="0.25">
      <c r="A19" s="19">
        <v>12</v>
      </c>
      <c r="B19" s="41" t="s">
        <v>328</v>
      </c>
      <c r="C19" s="2" t="s">
        <v>327</v>
      </c>
      <c r="D19" s="9">
        <v>1</v>
      </c>
      <c r="E19" s="12">
        <v>1</v>
      </c>
      <c r="F19" s="21">
        <v>13633772.34</v>
      </c>
      <c r="G19" s="25">
        <f>'1. Parámetros'!$B$28</f>
        <v>1.85</v>
      </c>
      <c r="H19" s="26">
        <f t="shared" si="6"/>
        <v>25222478.829</v>
      </c>
      <c r="I19" s="20">
        <f>'1. Parámetros'!$B$4</f>
        <v>36</v>
      </c>
      <c r="J19" s="45">
        <f t="shared" ref="J19:J30" si="7">ROUND(H19*I19,2)</f>
        <v>908009237.84000003</v>
      </c>
      <c r="L19" s="38">
        <v>21713191.48</v>
      </c>
      <c r="M19" s="38">
        <v>10378378</v>
      </c>
      <c r="N19" s="38">
        <v>18025983.707214952</v>
      </c>
      <c r="O19" s="38">
        <v>26500000</v>
      </c>
      <c r="P19" s="38">
        <v>27750000</v>
      </c>
      <c r="Q19" s="38">
        <v>16739999.999999998</v>
      </c>
      <c r="R19" s="38">
        <v>35914880</v>
      </c>
      <c r="S19" s="38">
        <v>13800000</v>
      </c>
      <c r="T19" s="38">
        <v>9224500</v>
      </c>
      <c r="U19" s="40"/>
      <c r="V19" s="35">
        <f t="shared" si="1"/>
        <v>9224500</v>
      </c>
      <c r="W19" s="35">
        <f t="shared" si="2"/>
        <v>35914880</v>
      </c>
      <c r="X19" s="35">
        <f>+ROUND(AVERAGE(M19,N19,Q19,S19,T19),2)</f>
        <v>13633772.34</v>
      </c>
      <c r="Y19" s="35">
        <f t="shared" si="3"/>
        <v>11429136.17</v>
      </c>
    </row>
    <row r="20" spans="1:25" x14ac:dyDescent="0.25">
      <c r="A20" s="19">
        <v>13</v>
      </c>
      <c r="B20" s="37" t="s">
        <v>329</v>
      </c>
      <c r="C20" s="2" t="s">
        <v>327</v>
      </c>
      <c r="D20" s="9">
        <v>6</v>
      </c>
      <c r="E20" s="12">
        <v>1</v>
      </c>
      <c r="F20" s="21">
        <v>6431403.5899999999</v>
      </c>
      <c r="G20" s="25">
        <f>'1. Parámetros'!$B$28</f>
        <v>1.85</v>
      </c>
      <c r="H20" s="26">
        <f t="shared" si="6"/>
        <v>71388579.849000007</v>
      </c>
      <c r="I20" s="20">
        <f>'1. Parámetros'!$B$4</f>
        <v>36</v>
      </c>
      <c r="J20" s="45">
        <f t="shared" si="7"/>
        <v>2569988874.5599999</v>
      </c>
      <c r="L20" s="38">
        <v>7840874.7000000002</v>
      </c>
      <c r="M20" s="38">
        <v>4743243.2432432426</v>
      </c>
      <c r="N20" s="38">
        <v>23741384.339189239</v>
      </c>
      <c r="O20" s="38">
        <v>18500000</v>
      </c>
      <c r="P20" s="38">
        <v>8750000</v>
      </c>
      <c r="Q20" s="38">
        <v>6974999.9999999991</v>
      </c>
      <c r="R20" s="38">
        <v>23761920.000000004</v>
      </c>
      <c r="S20" s="38">
        <v>6600000</v>
      </c>
      <c r="T20" s="38">
        <v>5997900</v>
      </c>
      <c r="U20" s="40"/>
      <c r="V20" s="35">
        <f t="shared" si="1"/>
        <v>4743243.2432432426</v>
      </c>
      <c r="W20" s="35">
        <f t="shared" si="2"/>
        <v>23761920.000000004</v>
      </c>
      <c r="X20" s="35">
        <f>+ROUND(AVERAGE(L20,M20,Q20,S20,T20),2)</f>
        <v>6431403.5899999999</v>
      </c>
      <c r="Y20" s="35">
        <f t="shared" si="3"/>
        <v>5587323.4199999999</v>
      </c>
    </row>
    <row r="21" spans="1:25" ht="24.75" customHeight="1" x14ac:dyDescent="0.25">
      <c r="A21" s="19">
        <v>14</v>
      </c>
      <c r="B21" s="37" t="s">
        <v>330</v>
      </c>
      <c r="C21" s="2" t="s">
        <v>327</v>
      </c>
      <c r="D21" s="9">
        <v>4</v>
      </c>
      <c r="E21" s="12">
        <v>1</v>
      </c>
      <c r="F21" s="21">
        <v>8657452.8499999996</v>
      </c>
      <c r="G21" s="25">
        <f>'1. Parámetros'!$B$28</f>
        <v>1.85</v>
      </c>
      <c r="H21" s="26">
        <f t="shared" si="6"/>
        <v>64065151.090000004</v>
      </c>
      <c r="I21" s="20">
        <f>'1. Parámetros'!$B$4</f>
        <v>36</v>
      </c>
      <c r="J21" s="45">
        <f t="shared" si="7"/>
        <v>2306345439.2399998</v>
      </c>
      <c r="L21" s="38">
        <v>11459739.949999999</v>
      </c>
      <c r="M21" s="38">
        <v>6324324.3243243238</v>
      </c>
      <c r="N21" s="38">
        <v>31738073.796790529</v>
      </c>
      <c r="O21" s="38">
        <v>23000000</v>
      </c>
      <c r="P21" s="38">
        <v>14000000</v>
      </c>
      <c r="Q21" s="38">
        <v>8835000</v>
      </c>
      <c r="R21" s="38">
        <v>27559040</v>
      </c>
      <c r="S21" s="38">
        <v>9000000</v>
      </c>
      <c r="T21" s="38">
        <v>7668200</v>
      </c>
      <c r="U21" s="40"/>
      <c r="V21" s="35">
        <f t="shared" si="1"/>
        <v>6324324.3243243238</v>
      </c>
      <c r="W21" s="35">
        <f t="shared" si="2"/>
        <v>31738073.796790529</v>
      </c>
      <c r="X21" s="35">
        <f>+ROUND(AVERAGE(L21,M21,Q21,S21,T21),2)</f>
        <v>8657452.8499999996</v>
      </c>
      <c r="Y21" s="35">
        <f t="shared" si="3"/>
        <v>7490888.5899999999</v>
      </c>
    </row>
    <row r="22" spans="1:25" ht="15" customHeight="1" x14ac:dyDescent="0.25">
      <c r="A22" s="19">
        <v>15</v>
      </c>
      <c r="B22" s="41" t="s">
        <v>331</v>
      </c>
      <c r="C22" s="2" t="s">
        <v>327</v>
      </c>
      <c r="D22" s="9">
        <v>2</v>
      </c>
      <c r="E22" s="12">
        <v>1</v>
      </c>
      <c r="F22" s="21">
        <v>12000446.970000001</v>
      </c>
      <c r="G22" s="25">
        <f>'1. Parámetros'!$B$28</f>
        <v>1.85</v>
      </c>
      <c r="H22" s="26">
        <f t="shared" si="6"/>
        <v>44401653.789000005</v>
      </c>
      <c r="I22" s="20">
        <f>'1. Parámetros'!$B$4</f>
        <v>36</v>
      </c>
      <c r="J22" s="45">
        <f t="shared" si="7"/>
        <v>1598459536.4000001</v>
      </c>
      <c r="L22" s="38">
        <v>15681749.4</v>
      </c>
      <c r="M22" s="38">
        <v>8432432.4324324317</v>
      </c>
      <c r="N22" s="38">
        <v>24737028.106322035</v>
      </c>
      <c r="O22" s="38">
        <v>32000000</v>
      </c>
      <c r="P22" s="38">
        <v>15750000</v>
      </c>
      <c r="Q22" s="38">
        <v>11020500</v>
      </c>
      <c r="R22" s="38">
        <v>43694080.000000007</v>
      </c>
      <c r="S22" s="38">
        <v>11400000</v>
      </c>
      <c r="T22" s="38">
        <v>9718000</v>
      </c>
      <c r="U22" s="40"/>
      <c r="V22" s="35">
        <f t="shared" si="1"/>
        <v>8432432.4324324317</v>
      </c>
      <c r="W22" s="35">
        <f t="shared" si="2"/>
        <v>43694080.000000007</v>
      </c>
      <c r="X22" s="35">
        <f t="shared" ref="X22:X29" si="8">+ROUND(AVERAGE(L22,M22,P22,Q22,S22,T22),2)</f>
        <v>12000446.970000001</v>
      </c>
      <c r="Y22" s="35">
        <f t="shared" si="3"/>
        <v>10216439.699999999</v>
      </c>
    </row>
    <row r="23" spans="1:25" ht="24.75" customHeight="1" x14ac:dyDescent="0.25">
      <c r="A23" s="19">
        <v>16</v>
      </c>
      <c r="B23" s="37" t="s">
        <v>332</v>
      </c>
      <c r="C23" s="2" t="s">
        <v>327</v>
      </c>
      <c r="D23" s="9">
        <v>1</v>
      </c>
      <c r="E23" s="12">
        <v>1</v>
      </c>
      <c r="F23" s="21">
        <v>12466469.300000001</v>
      </c>
      <c r="G23" s="25">
        <f>'1. Parámetros'!$B$28</f>
        <v>1.85</v>
      </c>
      <c r="H23" s="26">
        <f t="shared" si="6"/>
        <v>23062968.205000002</v>
      </c>
      <c r="I23" s="20">
        <f>'1. Parámetros'!$B$4</f>
        <v>36</v>
      </c>
      <c r="J23" s="45">
        <f t="shared" si="7"/>
        <v>830266855.38</v>
      </c>
      <c r="L23" s="38">
        <v>16888037.809999999</v>
      </c>
      <c r="M23" s="38">
        <v>10378378</v>
      </c>
      <c r="N23" s="38">
        <v>31738073.796790529</v>
      </c>
      <c r="O23" s="38">
        <v>21500000</v>
      </c>
      <c r="P23" s="38">
        <v>15750000</v>
      </c>
      <c r="Q23" s="38">
        <v>12555000</v>
      </c>
      <c r="R23" s="38">
        <v>27123840</v>
      </c>
      <c r="S23" s="38">
        <v>10800000</v>
      </c>
      <c r="T23" s="38">
        <v>8427400</v>
      </c>
      <c r="U23" s="40"/>
      <c r="V23" s="35">
        <f t="shared" si="1"/>
        <v>8427400</v>
      </c>
      <c r="W23" s="35">
        <f t="shared" si="2"/>
        <v>31738073.796790529</v>
      </c>
      <c r="X23" s="35">
        <f t="shared" si="8"/>
        <v>12466469.300000001</v>
      </c>
      <c r="Y23" s="35">
        <f t="shared" si="3"/>
        <v>10446934.65</v>
      </c>
    </row>
    <row r="24" spans="1:25" ht="24" customHeight="1" x14ac:dyDescent="0.25">
      <c r="A24" s="19">
        <v>17</v>
      </c>
      <c r="B24" s="37" t="s">
        <v>333</v>
      </c>
      <c r="C24" s="2" t="s">
        <v>327</v>
      </c>
      <c r="D24" s="9">
        <v>1</v>
      </c>
      <c r="E24" s="12">
        <v>1</v>
      </c>
      <c r="F24" s="21">
        <v>8739088.2599999998</v>
      </c>
      <c r="G24" s="25">
        <f>'1. Parámetros'!$B$28</f>
        <v>1.85</v>
      </c>
      <c r="H24" s="26">
        <f t="shared" si="6"/>
        <v>16167313.280999999</v>
      </c>
      <c r="I24" s="20">
        <f>'1. Parámetros'!$B$4</f>
        <v>36</v>
      </c>
      <c r="J24" s="45">
        <f t="shared" si="7"/>
        <v>582023278.12</v>
      </c>
      <c r="L24" s="38">
        <v>10253451.529999999</v>
      </c>
      <c r="M24" s="38">
        <v>10378378</v>
      </c>
      <c r="N24" s="38">
        <v>24503659.916639749</v>
      </c>
      <c r="O24" s="38">
        <v>17500000</v>
      </c>
      <c r="P24" s="38">
        <v>12000000</v>
      </c>
      <c r="Q24" s="38">
        <v>7439999.9999999991</v>
      </c>
      <c r="R24" s="38">
        <v>21760000.000000004</v>
      </c>
      <c r="S24" s="38">
        <v>7200000</v>
      </c>
      <c r="T24" s="38">
        <v>5162700</v>
      </c>
      <c r="U24" s="40"/>
      <c r="V24" s="35">
        <f t="shared" si="1"/>
        <v>5162700</v>
      </c>
      <c r="W24" s="35">
        <f t="shared" si="2"/>
        <v>24503659.916639749</v>
      </c>
      <c r="X24" s="35">
        <f>+ROUND(AVERAGE(L24,M24,P24,Q24,S24,T24),2)</f>
        <v>8739088.2599999998</v>
      </c>
      <c r="Y24" s="35">
        <f t="shared" si="3"/>
        <v>6950894.1299999999</v>
      </c>
    </row>
    <row r="25" spans="1:25" ht="15" customHeight="1" x14ac:dyDescent="0.25">
      <c r="A25" s="19">
        <v>18</v>
      </c>
      <c r="B25" s="37" t="s">
        <v>334</v>
      </c>
      <c r="C25" s="2" t="s">
        <v>327</v>
      </c>
      <c r="D25" s="9">
        <v>1</v>
      </c>
      <c r="E25" s="12">
        <v>1</v>
      </c>
      <c r="F25" s="21">
        <v>11893130.02</v>
      </c>
      <c r="G25" s="25">
        <f>'1. Parámetros'!$B$28</f>
        <v>1.85</v>
      </c>
      <c r="H25" s="26">
        <f t="shared" si="6"/>
        <v>22002290.537</v>
      </c>
      <c r="I25" s="20">
        <f>'1. Parámetros'!$B$4</f>
        <v>36</v>
      </c>
      <c r="J25" s="45">
        <f t="shared" si="7"/>
        <v>792082459.33000004</v>
      </c>
      <c r="L25" s="38">
        <v>16284893.609999999</v>
      </c>
      <c r="M25" s="38">
        <v>13486486.48</v>
      </c>
      <c r="N25" s="38">
        <v>24270291.726957463</v>
      </c>
      <c r="O25" s="38">
        <v>24500000</v>
      </c>
      <c r="P25" s="38">
        <v>10000000</v>
      </c>
      <c r="Q25" s="38">
        <v>11160000</v>
      </c>
      <c r="R25" s="38">
        <v>30464000</v>
      </c>
      <c r="S25" s="38">
        <v>12000000</v>
      </c>
      <c r="T25" s="38">
        <v>8427400</v>
      </c>
      <c r="U25" s="40"/>
      <c r="V25" s="35">
        <f t="shared" si="1"/>
        <v>8427400</v>
      </c>
      <c r="W25" s="35">
        <f t="shared" si="2"/>
        <v>30464000</v>
      </c>
      <c r="X25" s="35">
        <f t="shared" si="8"/>
        <v>11893130.02</v>
      </c>
      <c r="Y25" s="35">
        <f t="shared" si="3"/>
        <v>10160265.01</v>
      </c>
    </row>
    <row r="26" spans="1:25" x14ac:dyDescent="0.25">
      <c r="A26" s="19">
        <v>19</v>
      </c>
      <c r="B26" s="37" t="s">
        <v>335</v>
      </c>
      <c r="C26" s="2" t="s">
        <v>327</v>
      </c>
      <c r="D26" s="9">
        <v>1</v>
      </c>
      <c r="E26" s="12">
        <v>1</v>
      </c>
      <c r="F26" s="21">
        <v>11366173.16</v>
      </c>
      <c r="G26" s="25">
        <f>'1. Parámetros'!$B$28</f>
        <v>1.85</v>
      </c>
      <c r="H26" s="26">
        <f t="shared" si="6"/>
        <v>21027420.346000001</v>
      </c>
      <c r="I26" s="20">
        <f>'1. Parámetros'!$B$4</f>
        <v>36</v>
      </c>
      <c r="J26" s="45">
        <f t="shared" si="7"/>
        <v>756987132.46000004</v>
      </c>
      <c r="L26" s="38">
        <v>14475460.98</v>
      </c>
      <c r="M26" s="38">
        <v>10378378</v>
      </c>
      <c r="N26" s="38">
        <v>24737028.106322035</v>
      </c>
      <c r="O26" s="38">
        <v>19200000</v>
      </c>
      <c r="P26" s="38">
        <v>14875000</v>
      </c>
      <c r="Q26" s="38">
        <v>11625000</v>
      </c>
      <c r="R26" s="38">
        <v>23326720.000000004</v>
      </c>
      <c r="S26" s="38">
        <v>10200000</v>
      </c>
      <c r="T26" s="38">
        <v>6643200</v>
      </c>
      <c r="U26" s="40"/>
      <c r="V26" s="35">
        <f t="shared" si="1"/>
        <v>6643200</v>
      </c>
      <c r="W26" s="35">
        <f t="shared" si="2"/>
        <v>24737028.106322035</v>
      </c>
      <c r="X26" s="35">
        <f t="shared" si="8"/>
        <v>11366173.16</v>
      </c>
      <c r="Y26" s="35">
        <f t="shared" si="3"/>
        <v>9004686.5800000001</v>
      </c>
    </row>
    <row r="27" spans="1:25" x14ac:dyDescent="0.25">
      <c r="A27" s="19">
        <v>20</v>
      </c>
      <c r="B27" s="8" t="s">
        <v>336</v>
      </c>
      <c r="C27" s="2" t="s">
        <v>327</v>
      </c>
      <c r="D27" s="9">
        <v>1</v>
      </c>
      <c r="E27" s="12">
        <v>1</v>
      </c>
      <c r="F27" s="21">
        <v>11929500.539999999</v>
      </c>
      <c r="G27" s="25">
        <f>'1. Parámetros'!$B$28</f>
        <v>1.85</v>
      </c>
      <c r="H27" s="26">
        <f t="shared" si="6"/>
        <v>22069575.998999998</v>
      </c>
      <c r="I27" s="20">
        <f>'1. Parámetros'!$B$4</f>
        <v>36</v>
      </c>
      <c r="J27" s="45">
        <f t="shared" si="7"/>
        <v>794504735.96000004</v>
      </c>
      <c r="L27" s="38">
        <v>13872316.779999999</v>
      </c>
      <c r="M27" s="38">
        <v>13486486.48</v>
      </c>
      <c r="N27" s="38">
        <v>24036923.53727518</v>
      </c>
      <c r="O27" s="38">
        <v>19800000</v>
      </c>
      <c r="P27" s="38">
        <v>15750000</v>
      </c>
      <c r="Q27" s="38">
        <v>11625000</v>
      </c>
      <c r="R27" s="38">
        <v>26188160.000000004</v>
      </c>
      <c r="S27" s="38">
        <v>10200000</v>
      </c>
      <c r="T27" s="38">
        <v>6643200</v>
      </c>
      <c r="U27" s="40"/>
      <c r="V27" s="35">
        <f t="shared" si="1"/>
        <v>6643200</v>
      </c>
      <c r="W27" s="35">
        <f t="shared" si="2"/>
        <v>26188160.000000004</v>
      </c>
      <c r="X27" s="35">
        <f t="shared" si="8"/>
        <v>11929500.539999999</v>
      </c>
      <c r="Y27" s="35">
        <f t="shared" si="3"/>
        <v>9286350.2699999996</v>
      </c>
    </row>
    <row r="28" spans="1:25" x14ac:dyDescent="0.25">
      <c r="A28" s="19">
        <v>21</v>
      </c>
      <c r="B28" s="8" t="s">
        <v>337</v>
      </c>
      <c r="C28" s="2" t="s">
        <v>327</v>
      </c>
      <c r="D28" s="9">
        <v>1</v>
      </c>
      <c r="E28" s="12">
        <v>1</v>
      </c>
      <c r="F28" s="21">
        <v>11074291.76</v>
      </c>
      <c r="G28" s="25">
        <f>'1. Parámetros'!$B$28</f>
        <v>1.85</v>
      </c>
      <c r="H28" s="26">
        <f t="shared" si="6"/>
        <v>20487439.756000001</v>
      </c>
      <c r="I28" s="20">
        <f>'1. Parámetros'!$B$4</f>
        <v>36</v>
      </c>
      <c r="J28" s="45">
        <f t="shared" si="7"/>
        <v>737547831.22000003</v>
      </c>
      <c r="L28" s="38">
        <v>13269172.57</v>
      </c>
      <c r="M28" s="38">
        <v>10378378</v>
      </c>
      <c r="N28" s="38">
        <v>24970396.296004318</v>
      </c>
      <c r="O28" s="38">
        <v>19500000</v>
      </c>
      <c r="P28" s="38">
        <v>14000000</v>
      </c>
      <c r="Q28" s="38">
        <v>12555000</v>
      </c>
      <c r="R28" s="38">
        <v>25959680.000000004</v>
      </c>
      <c r="S28" s="38">
        <v>9600000</v>
      </c>
      <c r="T28" s="38">
        <v>6643200</v>
      </c>
      <c r="U28" s="40"/>
      <c r="V28" s="35">
        <f t="shared" si="1"/>
        <v>6643200</v>
      </c>
      <c r="W28" s="35">
        <f t="shared" si="2"/>
        <v>25959680.000000004</v>
      </c>
      <c r="X28" s="35">
        <f t="shared" si="8"/>
        <v>11074291.76</v>
      </c>
      <c r="Y28" s="35">
        <f t="shared" si="3"/>
        <v>8858745.8800000008</v>
      </c>
    </row>
    <row r="29" spans="1:25" ht="24.75" customHeight="1" x14ac:dyDescent="0.25">
      <c r="A29" s="19">
        <v>22</v>
      </c>
      <c r="B29" s="8" t="s">
        <v>338</v>
      </c>
      <c r="C29" s="2" t="s">
        <v>327</v>
      </c>
      <c r="D29" s="9">
        <v>1</v>
      </c>
      <c r="E29" s="12">
        <v>1</v>
      </c>
      <c r="F29" s="21">
        <v>11482863.869999999</v>
      </c>
      <c r="G29" s="25">
        <f>'1. Parámetros'!$B$28</f>
        <v>1.85</v>
      </c>
      <c r="H29" s="26">
        <f t="shared" si="6"/>
        <v>21243298.159499999</v>
      </c>
      <c r="I29" s="20">
        <f>'1. Parámetros'!$B$4</f>
        <v>36</v>
      </c>
      <c r="J29" s="45">
        <f t="shared" si="7"/>
        <v>764758733.74000001</v>
      </c>
      <c r="L29" s="38">
        <v>15078605.199999999</v>
      </c>
      <c r="M29" s="38">
        <v>10378378</v>
      </c>
      <c r="N29" s="38">
        <v>24737028.106322035</v>
      </c>
      <c r="O29" s="38">
        <v>21000000</v>
      </c>
      <c r="P29" s="38">
        <v>14000000</v>
      </c>
      <c r="Q29" s="38">
        <v>11997000</v>
      </c>
      <c r="R29" s="38">
        <v>27624320</v>
      </c>
      <c r="S29" s="38">
        <v>10800000</v>
      </c>
      <c r="T29" s="38">
        <v>6643200</v>
      </c>
      <c r="U29" s="40"/>
      <c r="V29" s="35">
        <f t="shared" si="1"/>
        <v>6643200</v>
      </c>
      <c r="W29" s="35">
        <f t="shared" si="2"/>
        <v>27624320</v>
      </c>
      <c r="X29" s="35">
        <f t="shared" si="8"/>
        <v>11482863.869999999</v>
      </c>
      <c r="Y29" s="35">
        <f t="shared" si="3"/>
        <v>9063031.9399999995</v>
      </c>
    </row>
    <row r="30" spans="1:25" x14ac:dyDescent="0.25">
      <c r="A30" s="19">
        <v>23</v>
      </c>
      <c r="B30" s="8" t="s">
        <v>339</v>
      </c>
      <c r="C30" s="2" t="s">
        <v>327</v>
      </c>
      <c r="D30" s="9">
        <v>1</v>
      </c>
      <c r="E30" s="12">
        <v>0.5</v>
      </c>
      <c r="F30" s="21">
        <v>14850234.039999999</v>
      </c>
      <c r="G30" s="25">
        <f>'1. Parámetros'!$B$28</f>
        <v>1.85</v>
      </c>
      <c r="H30" s="26">
        <f t="shared" si="6"/>
        <v>13736466.487</v>
      </c>
      <c r="I30" s="20">
        <f>'1. Parámetros'!$B$4</f>
        <v>36</v>
      </c>
      <c r="J30" s="45">
        <f t="shared" si="7"/>
        <v>494512793.52999997</v>
      </c>
      <c r="L30" s="38">
        <v>18094326.23</v>
      </c>
      <c r="M30" s="38">
        <v>10378378</v>
      </c>
      <c r="N30" s="38">
        <v>24036923.53727518</v>
      </c>
      <c r="O30" s="38">
        <v>18500000</v>
      </c>
      <c r="P30" s="38">
        <v>26250000</v>
      </c>
      <c r="Q30" s="38">
        <v>17205000</v>
      </c>
      <c r="R30" s="38">
        <v>26220800.000000004</v>
      </c>
      <c r="S30" s="38">
        <v>16800000</v>
      </c>
      <c r="T30" s="38">
        <v>8123700</v>
      </c>
      <c r="U30" s="40"/>
      <c r="V30" s="35">
        <f t="shared" si="1"/>
        <v>8123700</v>
      </c>
      <c r="W30" s="35">
        <f t="shared" si="2"/>
        <v>26250000</v>
      </c>
      <c r="X30" s="35">
        <f>+ROUND(AVERAGE(L30,M30,O30,Q30,S30,T30),2)</f>
        <v>14850234.039999999</v>
      </c>
      <c r="Y30" s="35">
        <f t="shared" si="3"/>
        <v>11486967.02</v>
      </c>
    </row>
    <row r="31" spans="1:25" ht="21.75" customHeight="1" x14ac:dyDescent="0.25">
      <c r="A31" s="71" t="s">
        <v>340</v>
      </c>
      <c r="B31" s="71"/>
      <c r="C31" s="71"/>
      <c r="D31" s="71"/>
      <c r="E31" s="71"/>
      <c r="F31" s="71"/>
      <c r="G31" s="71"/>
      <c r="H31" s="71"/>
      <c r="I31" s="71"/>
      <c r="J31" s="71"/>
      <c r="L31" s="75"/>
      <c r="M31" s="75"/>
      <c r="N31" s="75"/>
      <c r="O31" s="75"/>
      <c r="P31" s="75"/>
      <c r="Q31" s="75"/>
      <c r="R31" s="75"/>
      <c r="S31" s="75"/>
      <c r="T31" s="75"/>
      <c r="U31" s="40"/>
      <c r="V31" s="76"/>
      <c r="W31" s="76"/>
      <c r="X31" s="76"/>
      <c r="Y31" s="76"/>
    </row>
    <row r="32" spans="1:25" x14ac:dyDescent="0.25">
      <c r="A32" s="19">
        <v>24</v>
      </c>
      <c r="B32" s="8" t="s">
        <v>341</v>
      </c>
      <c r="C32" s="2" t="s">
        <v>342</v>
      </c>
      <c r="D32" s="9">
        <v>1</v>
      </c>
      <c r="E32" s="12">
        <v>1</v>
      </c>
      <c r="F32" s="21">
        <v>8321064.0099999998</v>
      </c>
      <c r="G32" s="25">
        <f>'1. Parámetros'!$B$28</f>
        <v>1.85</v>
      </c>
      <c r="H32" s="26">
        <f>D32*E32*F32*G32</f>
        <v>15393968.418500001</v>
      </c>
      <c r="I32" s="20">
        <f>'1. Parámetros'!$B$4</f>
        <v>36</v>
      </c>
      <c r="J32" s="45">
        <f>ROUND(H32*I32,2)</f>
        <v>554182863.07000005</v>
      </c>
      <c r="L32" s="38">
        <v>10856595.73</v>
      </c>
      <c r="M32" s="38">
        <v>8324324.3200000003</v>
      </c>
      <c r="N32" s="38">
        <v>20087284.860293306</v>
      </c>
      <c r="O32" s="38">
        <v>13005000</v>
      </c>
      <c r="P32" s="38">
        <v>14000000</v>
      </c>
      <c r="Q32" s="38">
        <v>7904999.9999999991</v>
      </c>
      <c r="R32" s="38">
        <v>21607680.000000004</v>
      </c>
      <c r="S32" s="38">
        <v>8400000</v>
      </c>
      <c r="T32" s="38">
        <v>6119400</v>
      </c>
      <c r="U32" s="40"/>
      <c r="V32" s="35">
        <f t="shared" si="1"/>
        <v>6119400</v>
      </c>
      <c r="W32" s="35">
        <f t="shared" si="2"/>
        <v>21607680.000000004</v>
      </c>
      <c r="X32" s="35">
        <f>+ROUND(AVERAGE(L32,M32,Q32,S32,T32),2)</f>
        <v>8321064.0099999998</v>
      </c>
      <c r="Y32" s="35">
        <f t="shared" si="3"/>
        <v>7220232.0099999998</v>
      </c>
    </row>
    <row r="33" spans="1:25" x14ac:dyDescent="0.25">
      <c r="A33" s="19">
        <v>25</v>
      </c>
      <c r="B33" s="8" t="s">
        <v>343</v>
      </c>
      <c r="C33" s="2" t="s">
        <v>342</v>
      </c>
      <c r="D33" s="9">
        <v>12</v>
      </c>
      <c r="E33" s="12">
        <v>1</v>
      </c>
      <c r="F33" s="21">
        <v>4744151.6100000003</v>
      </c>
      <c r="G33" s="25">
        <f>'1. Parámetros'!$B$28</f>
        <v>1.85</v>
      </c>
      <c r="H33" s="26">
        <f>D33*E33*F33*G33</f>
        <v>105320165.74200001</v>
      </c>
      <c r="I33" s="20">
        <f>'1. Parámetros'!$B$4</f>
        <v>36</v>
      </c>
      <c r="J33" s="45">
        <f t="shared" ref="J33:J36" si="9">ROUND(H33*I33,2)</f>
        <v>3791525966.71</v>
      </c>
      <c r="L33" s="38">
        <v>3860122.93</v>
      </c>
      <c r="M33" s="38">
        <v>3635135.13</v>
      </c>
      <c r="N33" s="38">
        <v>13344154.482519425</v>
      </c>
      <c r="O33" s="38">
        <v>8925000</v>
      </c>
      <c r="P33" s="38">
        <v>7875000</v>
      </c>
      <c r="Q33" s="38">
        <v>4510500</v>
      </c>
      <c r="R33" s="38">
        <v>15112320</v>
      </c>
      <c r="S33" s="38">
        <v>3840000</v>
      </c>
      <c r="T33" s="38">
        <v>2718100</v>
      </c>
      <c r="U33" s="40"/>
      <c r="V33" s="35">
        <f t="shared" si="1"/>
        <v>2718100</v>
      </c>
      <c r="W33" s="35">
        <f t="shared" si="2"/>
        <v>15112320</v>
      </c>
      <c r="X33" s="35">
        <f>+ROUND(AVERAGE(L33,M33,P33,Q33,S33),2)</f>
        <v>4744151.6100000003</v>
      </c>
      <c r="Y33" s="35">
        <f t="shared" si="3"/>
        <v>3731125.81</v>
      </c>
    </row>
    <row r="34" spans="1:25" x14ac:dyDescent="0.25">
      <c r="A34" s="19">
        <v>26</v>
      </c>
      <c r="B34" s="8" t="s">
        <v>344</v>
      </c>
      <c r="C34" s="2" t="s">
        <v>342</v>
      </c>
      <c r="D34" s="9">
        <v>6</v>
      </c>
      <c r="E34" s="12">
        <v>1</v>
      </c>
      <c r="F34" s="21">
        <v>5880597.4100000001</v>
      </c>
      <c r="G34" s="25">
        <f>'1. Parámetros'!$B$28</f>
        <v>1.85</v>
      </c>
      <c r="H34" s="26">
        <f>D34*E34*F34*G34</f>
        <v>65274631.251000002</v>
      </c>
      <c r="I34" s="20">
        <f>'1. Parámetros'!$B$4</f>
        <v>36</v>
      </c>
      <c r="J34" s="45">
        <f t="shared" si="9"/>
        <v>2349886725.04</v>
      </c>
      <c r="L34" s="38">
        <v>5428297.8799999999</v>
      </c>
      <c r="M34" s="38">
        <v>4689189.18</v>
      </c>
      <c r="N34" s="38">
        <v>18594861.885415535</v>
      </c>
      <c r="O34" s="38">
        <v>10625000</v>
      </c>
      <c r="P34" s="38">
        <v>7875000</v>
      </c>
      <c r="Q34" s="38">
        <v>6370500</v>
      </c>
      <c r="R34" s="38">
        <v>17538560</v>
      </c>
      <c r="S34" s="38">
        <v>5040000</v>
      </c>
      <c r="T34" s="38">
        <v>3416600</v>
      </c>
      <c r="U34" s="40"/>
      <c r="V34" s="35">
        <f t="shared" si="1"/>
        <v>3416600</v>
      </c>
      <c r="W34" s="35">
        <f t="shared" si="2"/>
        <v>18594861.885415535</v>
      </c>
      <c r="X34" s="35">
        <f t="shared" ref="X34:X35" si="10">+ROUND(AVERAGE(L34,M34,P34,Q34,S34),2)</f>
        <v>5880597.4100000001</v>
      </c>
      <c r="Y34" s="35">
        <f t="shared" si="3"/>
        <v>4648598.71</v>
      </c>
    </row>
    <row r="35" spans="1:25" ht="24.75" customHeight="1" x14ac:dyDescent="0.25">
      <c r="A35" s="19">
        <v>27</v>
      </c>
      <c r="B35" s="8" t="s">
        <v>345</v>
      </c>
      <c r="C35" s="2" t="s">
        <v>342</v>
      </c>
      <c r="D35" s="9">
        <v>8</v>
      </c>
      <c r="E35" s="12">
        <v>1</v>
      </c>
      <c r="F35" s="21">
        <v>4901103.5199999996</v>
      </c>
      <c r="G35" s="25">
        <f>'1. Parámetros'!$B$28</f>
        <v>1.85</v>
      </c>
      <c r="H35" s="26">
        <f>D35*E35*F35*G35</f>
        <v>72536332.096000001</v>
      </c>
      <c r="I35" s="20">
        <f>'1. Parámetros'!$B$4</f>
        <v>36</v>
      </c>
      <c r="J35" s="45">
        <f t="shared" si="9"/>
        <v>2611307955.46</v>
      </c>
      <c r="L35" s="38">
        <v>4583895.9800000004</v>
      </c>
      <c r="M35" s="38">
        <v>2371621.6216216213</v>
      </c>
      <c r="N35" s="38">
        <v>13946146.414061651</v>
      </c>
      <c r="O35" s="38">
        <v>8500000</v>
      </c>
      <c r="P35" s="38">
        <v>7875000</v>
      </c>
      <c r="Q35" s="38">
        <v>5115000</v>
      </c>
      <c r="R35" s="38">
        <v>13730560</v>
      </c>
      <c r="S35" s="38">
        <v>4560000</v>
      </c>
      <c r="T35" s="38">
        <v>3226700</v>
      </c>
      <c r="U35" s="40"/>
      <c r="V35" s="35">
        <f t="shared" si="1"/>
        <v>2371621.6216216213</v>
      </c>
      <c r="W35" s="35">
        <f t="shared" si="2"/>
        <v>13946146.414061651</v>
      </c>
      <c r="X35" s="35">
        <f t="shared" si="10"/>
        <v>4901103.5199999996</v>
      </c>
      <c r="Y35" s="35">
        <f t="shared" si="3"/>
        <v>3636362.57</v>
      </c>
    </row>
    <row r="36" spans="1:25" ht="24.75" customHeight="1" x14ac:dyDescent="0.25">
      <c r="A36" s="19">
        <v>28</v>
      </c>
      <c r="B36" s="8" t="s">
        <v>346</v>
      </c>
      <c r="C36" s="2" t="s">
        <v>342</v>
      </c>
      <c r="D36" s="9">
        <v>1</v>
      </c>
      <c r="E36" s="12">
        <v>1</v>
      </c>
      <c r="F36" s="21">
        <v>11140347.550000001</v>
      </c>
      <c r="G36" s="25">
        <f>'1. Parámetros'!$B$28</f>
        <v>1.85</v>
      </c>
      <c r="H36" s="26">
        <f>D36*E36*F36*G36</f>
        <v>20609642.967500001</v>
      </c>
      <c r="I36" s="20">
        <f>'1. Parámetros'!$B$4</f>
        <v>36</v>
      </c>
      <c r="J36" s="45">
        <f t="shared" si="9"/>
        <v>741947146.83000004</v>
      </c>
      <c r="L36" s="38">
        <v>14475460.98</v>
      </c>
      <c r="M36" s="38">
        <v>8324324.3200000003</v>
      </c>
      <c r="N36" s="38">
        <v>20460170.122802291</v>
      </c>
      <c r="O36" s="38">
        <v>16575000</v>
      </c>
      <c r="P36" s="38">
        <v>15750000</v>
      </c>
      <c r="Q36" s="38">
        <v>9300000</v>
      </c>
      <c r="R36" s="38">
        <v>28190080</v>
      </c>
      <c r="S36" s="38">
        <v>11400000</v>
      </c>
      <c r="T36" s="38">
        <v>7592300</v>
      </c>
      <c r="U36" s="40"/>
      <c r="V36" s="35">
        <f t="shared" si="1"/>
        <v>7592300</v>
      </c>
      <c r="W36" s="35">
        <f t="shared" si="2"/>
        <v>28190080</v>
      </c>
      <c r="X36" s="35">
        <f>+ROUND(AVERAGE(L36,M36,P36,Q36,S36,T36),2)</f>
        <v>11140347.550000001</v>
      </c>
      <c r="Y36" s="35">
        <f t="shared" si="3"/>
        <v>9366323.7799999993</v>
      </c>
    </row>
    <row r="37" spans="1:25" ht="21.75" customHeight="1" x14ac:dyDescent="0.25">
      <c r="A37" s="71" t="s">
        <v>347</v>
      </c>
      <c r="B37" s="71"/>
      <c r="C37" s="71"/>
      <c r="D37" s="71"/>
      <c r="E37" s="71"/>
      <c r="F37" s="71"/>
      <c r="G37" s="71"/>
      <c r="H37" s="71"/>
      <c r="I37" s="71"/>
      <c r="J37" s="71"/>
      <c r="L37" s="75"/>
      <c r="M37" s="75"/>
      <c r="N37" s="75"/>
      <c r="O37" s="75"/>
      <c r="P37" s="75"/>
      <c r="Q37" s="75"/>
      <c r="R37" s="75"/>
      <c r="S37" s="75"/>
      <c r="T37" s="75"/>
      <c r="U37" s="40"/>
      <c r="V37" s="76"/>
      <c r="W37" s="76"/>
      <c r="X37" s="76"/>
      <c r="Y37" s="76"/>
    </row>
    <row r="38" spans="1:25" x14ac:dyDescent="0.25">
      <c r="A38" s="19">
        <v>29</v>
      </c>
      <c r="B38" s="8" t="s">
        <v>348</v>
      </c>
      <c r="C38" s="2" t="s">
        <v>349</v>
      </c>
      <c r="D38" s="9">
        <v>3</v>
      </c>
      <c r="E38" s="12">
        <v>1</v>
      </c>
      <c r="F38" s="21">
        <v>5776871.7699999996</v>
      </c>
      <c r="G38" s="25">
        <f>'1. Parámetros'!$B$28</f>
        <v>1.85</v>
      </c>
      <c r="H38" s="26">
        <f>D38*E38*F38*G38</f>
        <v>32061638.3235</v>
      </c>
      <c r="I38" s="20">
        <f>'1. Parámetros'!$B$4</f>
        <v>36</v>
      </c>
      <c r="J38" s="45">
        <f>ROUND(H38*I38,2)</f>
        <v>1154218979.6500001</v>
      </c>
      <c r="L38" s="38">
        <v>5428297.8799999999</v>
      </c>
      <c r="M38" s="38">
        <v>4689189.18</v>
      </c>
      <c r="N38" s="38">
        <v>16838403.338513386</v>
      </c>
      <c r="O38" s="38">
        <v>10625000</v>
      </c>
      <c r="P38" s="38">
        <v>7875000</v>
      </c>
      <c r="Q38" s="38">
        <v>5115000</v>
      </c>
      <c r="R38" s="38">
        <v>16200320</v>
      </c>
      <c r="S38" s="38">
        <v>12323535.6</v>
      </c>
      <c r="T38" s="38">
        <v>3006600</v>
      </c>
      <c r="U38" s="40"/>
      <c r="V38" s="35">
        <f t="shared" si="1"/>
        <v>3006600</v>
      </c>
      <c r="W38" s="35">
        <f t="shared" si="2"/>
        <v>16838403.338513386</v>
      </c>
      <c r="X38" s="35">
        <f>+ROUND(AVERAGE(L38,M38,P38,Q38),2)</f>
        <v>5776871.7699999996</v>
      </c>
      <c r="Y38" s="35">
        <f t="shared" si="3"/>
        <v>4391735.8899999997</v>
      </c>
    </row>
    <row r="39" spans="1:25" ht="24.75" customHeight="1" x14ac:dyDescent="0.25">
      <c r="A39" s="19">
        <v>30</v>
      </c>
      <c r="B39" s="8" t="s">
        <v>350</v>
      </c>
      <c r="C39" s="2" t="s">
        <v>349</v>
      </c>
      <c r="D39" s="9">
        <v>2</v>
      </c>
      <c r="E39" s="12">
        <v>1</v>
      </c>
      <c r="F39" s="21">
        <v>6645943.8700000001</v>
      </c>
      <c r="G39" s="25">
        <f>'1. Parámetros'!$B$28</f>
        <v>1.85</v>
      </c>
      <c r="H39" s="26">
        <f>D39*E39*F39*G39</f>
        <v>24589992.319000002</v>
      </c>
      <c r="I39" s="20">
        <f>'1. Parámetros'!$B$4</f>
        <v>36</v>
      </c>
      <c r="J39" s="45">
        <f t="shared" ref="J39:J40" si="11">ROUND(H39*I39,2)</f>
        <v>885239723.48000002</v>
      </c>
      <c r="L39" s="38">
        <v>6634586.2800000003</v>
      </c>
      <c r="M39" s="38">
        <v>4689189.18</v>
      </c>
      <c r="N39" s="38">
        <v>18230703.338513386</v>
      </c>
      <c r="O39" s="38">
        <v>8925000</v>
      </c>
      <c r="P39" s="38">
        <v>8750000</v>
      </c>
      <c r="Q39" s="38">
        <v>6510000</v>
      </c>
      <c r="R39" s="38">
        <v>14535680</v>
      </c>
      <c r="S39" s="38">
        <v>6600000</v>
      </c>
      <c r="T39" s="38">
        <v>3226700</v>
      </c>
      <c r="U39" s="40"/>
      <c r="V39" s="35">
        <f t="shared" si="1"/>
        <v>3226700</v>
      </c>
      <c r="W39" s="35">
        <f t="shared" si="2"/>
        <v>18230703.338513386</v>
      </c>
      <c r="X39" s="35">
        <f>+ROUND(AVERAGE(L39,M39,P39,Q39),2)</f>
        <v>6645943.8700000001</v>
      </c>
      <c r="Y39" s="35">
        <f t="shared" si="3"/>
        <v>4936321.9400000004</v>
      </c>
    </row>
    <row r="40" spans="1:25" ht="24.75" customHeight="1" x14ac:dyDescent="0.25">
      <c r="A40" s="19">
        <v>31</v>
      </c>
      <c r="B40" s="8" t="s">
        <v>351</v>
      </c>
      <c r="C40" s="2" t="s">
        <v>349</v>
      </c>
      <c r="D40" s="9">
        <v>1</v>
      </c>
      <c r="E40" s="12">
        <v>1</v>
      </c>
      <c r="F40" s="21">
        <v>9885315.6300000008</v>
      </c>
      <c r="G40" s="25">
        <f>'1. Parámetros'!$B$28</f>
        <v>1.85</v>
      </c>
      <c r="H40" s="26">
        <f>D40*E40*F40*G40</f>
        <v>18287833.915500004</v>
      </c>
      <c r="I40" s="20">
        <f>'1. Parámetros'!$B$4</f>
        <v>36</v>
      </c>
      <c r="J40" s="45">
        <f t="shared" si="11"/>
        <v>658362020.96000004</v>
      </c>
      <c r="L40" s="38">
        <v>12062884.16</v>
      </c>
      <c r="M40" s="38">
        <v>7378378.3783783782</v>
      </c>
      <c r="N40" s="38">
        <v>26269129.173141863</v>
      </c>
      <c r="O40" s="38">
        <v>15300000</v>
      </c>
      <c r="P40" s="38">
        <v>17500000</v>
      </c>
      <c r="Q40" s="38">
        <v>9300000</v>
      </c>
      <c r="R40" s="38">
        <v>25296000.000000004</v>
      </c>
      <c r="S40" s="38">
        <v>10800000</v>
      </c>
      <c r="T40" s="38"/>
      <c r="U40" s="40"/>
      <c r="V40" s="35">
        <f t="shared" si="1"/>
        <v>7378378.3783783782</v>
      </c>
      <c r="W40" s="35">
        <f t="shared" si="2"/>
        <v>26269129.173141863</v>
      </c>
      <c r="X40" s="35">
        <f>+ROUND(AVERAGE(L40,M40,Q40,S40,T40),2)</f>
        <v>9885315.6300000008</v>
      </c>
      <c r="Y40" s="35">
        <f t="shared" si="3"/>
        <v>8631847</v>
      </c>
    </row>
    <row r="41" spans="1:25" ht="21.75" customHeight="1" x14ac:dyDescent="0.25">
      <c r="A41" s="71" t="s">
        <v>352</v>
      </c>
      <c r="B41" s="71"/>
      <c r="C41" s="71"/>
      <c r="D41" s="71"/>
      <c r="E41" s="71"/>
      <c r="F41" s="71"/>
      <c r="G41" s="71"/>
      <c r="H41" s="71"/>
      <c r="I41" s="71"/>
      <c r="J41" s="71"/>
      <c r="L41" s="75"/>
      <c r="M41" s="75"/>
      <c r="N41" s="75"/>
      <c r="O41" s="75"/>
      <c r="P41" s="75"/>
      <c r="Q41" s="75"/>
      <c r="R41" s="75"/>
      <c r="S41" s="75"/>
      <c r="T41" s="75"/>
      <c r="U41" s="40"/>
      <c r="V41" s="76"/>
      <c r="W41" s="76"/>
      <c r="X41" s="76"/>
      <c r="Y41" s="76"/>
    </row>
    <row r="42" spans="1:25" x14ac:dyDescent="0.25">
      <c r="A42" s="19">
        <v>32</v>
      </c>
      <c r="B42" s="8" t="s">
        <v>353</v>
      </c>
      <c r="C42" s="2" t="s">
        <v>20</v>
      </c>
      <c r="D42" s="9">
        <v>1</v>
      </c>
      <c r="E42" s="12">
        <v>1</v>
      </c>
      <c r="F42" s="21">
        <v>9977837.0600000005</v>
      </c>
      <c r="G42" s="25">
        <f>'1. Parámetros'!$B$28</f>
        <v>1.85</v>
      </c>
      <c r="H42" s="26">
        <f>D42*E42*F42*G42</f>
        <v>18458998.561000001</v>
      </c>
      <c r="I42" s="20">
        <f>'1. Parámetros'!$B$4</f>
        <v>36</v>
      </c>
      <c r="J42" s="45">
        <f>ROUND(H42*I42,2)</f>
        <v>664523948.20000005</v>
      </c>
      <c r="L42" s="38">
        <v>14475460.98</v>
      </c>
      <c r="M42" s="38">
        <v>8324324.3200000003</v>
      </c>
      <c r="N42" s="38">
        <v>24987483.707214948</v>
      </c>
      <c r="O42" s="38">
        <v>16575000</v>
      </c>
      <c r="P42" s="38">
        <v>17500000</v>
      </c>
      <c r="Q42" s="38">
        <v>8369999.9999999991</v>
      </c>
      <c r="R42" s="38">
        <v>27080320</v>
      </c>
      <c r="S42" s="38">
        <v>12600000</v>
      </c>
      <c r="T42" s="38">
        <v>6119400</v>
      </c>
      <c r="U42" s="40"/>
      <c r="V42" s="35">
        <f t="shared" si="1"/>
        <v>6119400</v>
      </c>
      <c r="W42" s="35">
        <f t="shared" si="2"/>
        <v>27080320</v>
      </c>
      <c r="X42" s="35">
        <f>+ROUND(AVERAGE(L42,M42,Q42,S42),2)</f>
        <v>10942446.33</v>
      </c>
      <c r="Y42" s="35">
        <f t="shared" si="3"/>
        <v>8530923.1699999999</v>
      </c>
    </row>
    <row r="43" spans="1:25" ht="24.75" customHeight="1" x14ac:dyDescent="0.25">
      <c r="A43" s="19">
        <v>33</v>
      </c>
      <c r="B43" s="8" t="s">
        <v>354</v>
      </c>
      <c r="C43" s="2" t="s">
        <v>20</v>
      </c>
      <c r="D43" s="9">
        <v>1</v>
      </c>
      <c r="E43" s="12">
        <v>1</v>
      </c>
      <c r="F43" s="21">
        <v>10326990.189999999</v>
      </c>
      <c r="G43" s="25">
        <f>'1. Parámetros'!$B$28</f>
        <v>1.85</v>
      </c>
      <c r="H43" s="26">
        <f>D43*E43*F43*G43</f>
        <v>19104931.851500001</v>
      </c>
      <c r="I43" s="20">
        <f>'1. Parámetros'!$B$4</f>
        <v>36</v>
      </c>
      <c r="J43" s="45">
        <f t="shared" ref="J43:J46" si="12">ROUND(H43*I43,2)</f>
        <v>687777546.64999998</v>
      </c>
      <c r="L43" s="38">
        <v>13269172.57</v>
      </c>
      <c r="M43" s="38">
        <v>7378378.3783783782</v>
      </c>
      <c r="N43" s="38">
        <v>22628145.269647028</v>
      </c>
      <c r="O43" s="38">
        <v>17850000</v>
      </c>
      <c r="P43" s="38">
        <v>19250000</v>
      </c>
      <c r="Q43" s="38">
        <v>11160000</v>
      </c>
      <c r="R43" s="38">
        <v>29887360</v>
      </c>
      <c r="S43" s="38">
        <v>11400000</v>
      </c>
      <c r="T43" s="38">
        <v>8427400</v>
      </c>
      <c r="U43" s="40"/>
      <c r="V43" s="35">
        <f t="shared" si="1"/>
        <v>7378378.3783783782</v>
      </c>
      <c r="W43" s="35">
        <f t="shared" si="2"/>
        <v>29887360</v>
      </c>
      <c r="X43" s="35">
        <f t="shared" ref="X43" si="13">+ROUND(AVERAGE(L43,M43,Q43,S43,T43),2)</f>
        <v>10326990.189999999</v>
      </c>
      <c r="Y43" s="35">
        <f t="shared" si="3"/>
        <v>8852684.2799999993</v>
      </c>
    </row>
    <row r="44" spans="1:25" x14ac:dyDescent="0.25">
      <c r="A44" s="19">
        <v>34</v>
      </c>
      <c r="B44" s="8" t="s">
        <v>355</v>
      </c>
      <c r="C44" s="2" t="s">
        <v>20</v>
      </c>
      <c r="D44" s="9">
        <v>6</v>
      </c>
      <c r="E44" s="12">
        <v>1</v>
      </c>
      <c r="F44" s="21">
        <v>5747571.5700000003</v>
      </c>
      <c r="G44" s="25">
        <f>'1. Parámetros'!$B$28</f>
        <v>1.85</v>
      </c>
      <c r="H44" s="26">
        <f>D44*E44*F44*G44</f>
        <v>63798044.427000009</v>
      </c>
      <c r="I44" s="20">
        <f>'1. Parámetros'!$B$4</f>
        <v>36</v>
      </c>
      <c r="J44" s="45">
        <f t="shared" si="12"/>
        <v>2296729599.3699999</v>
      </c>
      <c r="L44" s="38">
        <v>6634586.2800000003</v>
      </c>
      <c r="M44" s="38">
        <v>3898648.64</v>
      </c>
      <c r="N44" s="38">
        <v>20707892.63663663</v>
      </c>
      <c r="O44" s="38">
        <v>13175000</v>
      </c>
      <c r="P44" s="38">
        <v>12250000</v>
      </c>
      <c r="Q44" s="38">
        <v>5580000</v>
      </c>
      <c r="R44" s="38">
        <v>19801600</v>
      </c>
      <c r="S44" s="38">
        <v>6600000</v>
      </c>
      <c r="T44" s="38">
        <v>4175700</v>
      </c>
      <c r="U44" s="40"/>
      <c r="V44" s="35">
        <f t="shared" si="1"/>
        <v>3898648.64</v>
      </c>
      <c r="W44" s="35">
        <f t="shared" si="2"/>
        <v>20707892.63663663</v>
      </c>
      <c r="X44" s="35">
        <f>+ROUND(AVERAGE(L44,Q44,S44,T44),2)</f>
        <v>5747571.5700000003</v>
      </c>
      <c r="Y44" s="35">
        <f t="shared" si="3"/>
        <v>4823110.1100000003</v>
      </c>
    </row>
    <row r="45" spans="1:25" x14ac:dyDescent="0.25">
      <c r="A45" s="19">
        <v>35</v>
      </c>
      <c r="B45" s="8" t="s">
        <v>356</v>
      </c>
      <c r="C45" s="2" t="s">
        <v>20</v>
      </c>
      <c r="D45" s="9">
        <v>18</v>
      </c>
      <c r="E45" s="12">
        <v>1</v>
      </c>
      <c r="F45" s="21">
        <v>4293304.59</v>
      </c>
      <c r="G45" s="25">
        <f>'1. Parámetros'!$B$28</f>
        <v>1.85</v>
      </c>
      <c r="H45" s="26">
        <f>D45*E45*F45*G45</f>
        <v>142967042.847</v>
      </c>
      <c r="I45" s="20">
        <f>'1. Parámetros'!$B$4</f>
        <v>36</v>
      </c>
      <c r="J45" s="45">
        <f t="shared" si="12"/>
        <v>5146813542.4899998</v>
      </c>
      <c r="L45" s="38">
        <v>3860122.93</v>
      </c>
      <c r="M45" s="38">
        <v>2244594.59</v>
      </c>
      <c r="N45" s="38">
        <v>17664668.733439285</v>
      </c>
      <c r="O45" s="38">
        <v>10625000</v>
      </c>
      <c r="P45" s="38">
        <v>7000000</v>
      </c>
      <c r="Q45" s="38">
        <v>4184999.9999999995</v>
      </c>
      <c r="R45" s="38">
        <v>15950080</v>
      </c>
      <c r="S45" s="38">
        <v>3840000</v>
      </c>
      <c r="T45" s="38">
        <v>2581400</v>
      </c>
      <c r="U45" s="40"/>
      <c r="V45" s="35">
        <f t="shared" si="1"/>
        <v>2244594.59</v>
      </c>
      <c r="W45" s="35">
        <f t="shared" si="2"/>
        <v>17664668.733439285</v>
      </c>
      <c r="X45" s="35">
        <f>+ROUND(AVERAGE(L45,P45,Q45,S45,T45),2)</f>
        <v>4293304.59</v>
      </c>
      <c r="Y45" s="35">
        <f t="shared" si="3"/>
        <v>3268949.59</v>
      </c>
    </row>
    <row r="46" spans="1:25" x14ac:dyDescent="0.25">
      <c r="A46" s="19">
        <v>36</v>
      </c>
      <c r="B46" s="8" t="s">
        <v>357</v>
      </c>
      <c r="C46" s="2" t="s">
        <v>20</v>
      </c>
      <c r="D46" s="9">
        <v>6</v>
      </c>
      <c r="E46" s="12">
        <v>1</v>
      </c>
      <c r="F46" s="21">
        <v>4868801.8899999997</v>
      </c>
      <c r="G46" s="25">
        <f>'1. Parámetros'!$B$28</f>
        <v>1.85</v>
      </c>
      <c r="H46" s="26">
        <f>D46*E46*F46*G46</f>
        <v>54043700.978999995</v>
      </c>
      <c r="I46" s="20">
        <f>'1. Parámetros'!$B$4</f>
        <v>36</v>
      </c>
      <c r="J46" s="45">
        <f t="shared" si="12"/>
        <v>1945573235.24</v>
      </c>
      <c r="L46" s="38">
        <v>4222009.45</v>
      </c>
      <c r="M46" s="38">
        <v>2871621.62</v>
      </c>
      <c r="N46" s="38">
        <v>17516281.607905511</v>
      </c>
      <c r="O46" s="38">
        <v>11475000</v>
      </c>
      <c r="P46" s="38">
        <v>7875000</v>
      </c>
      <c r="Q46" s="38">
        <v>4650000</v>
      </c>
      <c r="R46" s="38">
        <v>18506880</v>
      </c>
      <c r="S46" s="38">
        <v>4560000</v>
      </c>
      <c r="T46" s="38">
        <v>3037000</v>
      </c>
      <c r="U46" s="40"/>
      <c r="V46" s="35">
        <f t="shared" si="1"/>
        <v>2871621.62</v>
      </c>
      <c r="W46" s="35">
        <f t="shared" si="2"/>
        <v>18506880</v>
      </c>
      <c r="X46" s="35">
        <f>+ROUND(AVERAGE(L46,P46,Q46,S46,T46),2)</f>
        <v>4868801.8899999997</v>
      </c>
      <c r="Y46" s="35">
        <f t="shared" si="3"/>
        <v>3870211.76</v>
      </c>
    </row>
    <row r="47" spans="1:25" ht="21.75" customHeight="1" x14ac:dyDescent="0.25">
      <c r="A47" s="71" t="s">
        <v>358</v>
      </c>
      <c r="B47" s="71"/>
      <c r="C47" s="71"/>
      <c r="D47" s="71"/>
      <c r="E47" s="71"/>
      <c r="F47" s="71"/>
      <c r="G47" s="71"/>
      <c r="H47" s="71"/>
      <c r="I47" s="71"/>
      <c r="J47" s="71"/>
      <c r="L47" s="75"/>
      <c r="M47" s="75"/>
      <c r="N47" s="75"/>
      <c r="O47" s="75"/>
      <c r="P47" s="75"/>
      <c r="Q47" s="75"/>
      <c r="R47" s="75"/>
      <c r="S47" s="75"/>
      <c r="T47" s="75"/>
      <c r="U47" s="40"/>
      <c r="V47" s="76"/>
      <c r="W47" s="76"/>
      <c r="X47" s="76"/>
      <c r="Y47" s="76"/>
    </row>
    <row r="48" spans="1:25" x14ac:dyDescent="0.25">
      <c r="A48" s="19">
        <v>37</v>
      </c>
      <c r="B48" s="8" t="s">
        <v>359</v>
      </c>
      <c r="C48" s="2" t="s">
        <v>360</v>
      </c>
      <c r="D48" s="9">
        <v>2</v>
      </c>
      <c r="E48" s="12">
        <v>1</v>
      </c>
      <c r="F48" s="21">
        <v>10752705.289999999</v>
      </c>
      <c r="G48" s="25">
        <f>'1. Parámetros'!$B$28</f>
        <v>1.85</v>
      </c>
      <c r="H48" s="26">
        <f>D48*E48*F48*G48</f>
        <v>39785009.572999999</v>
      </c>
      <c r="I48" s="20">
        <f>'1. Parámetros'!$B$4</f>
        <v>36</v>
      </c>
      <c r="J48" s="45">
        <f>ROUND(H48*I48,2)</f>
        <v>1432260344.6300001</v>
      </c>
      <c r="L48" s="38">
        <v>11459739.949999999</v>
      </c>
      <c r="M48" s="38">
        <v>13486486.48</v>
      </c>
      <c r="N48" s="38">
        <v>24473649.907094557</v>
      </c>
      <c r="O48" s="38">
        <v>19125000</v>
      </c>
      <c r="P48" s="38">
        <v>17500000</v>
      </c>
      <c r="Q48" s="38">
        <v>11625000</v>
      </c>
      <c r="R48" s="38">
        <v>30964480</v>
      </c>
      <c r="S48" s="38">
        <v>9600000</v>
      </c>
      <c r="T48" s="38">
        <v>7592300</v>
      </c>
      <c r="U48" s="40"/>
      <c r="V48" s="35">
        <f t="shared" si="1"/>
        <v>7592300</v>
      </c>
      <c r="W48" s="35">
        <f t="shared" si="2"/>
        <v>30964480</v>
      </c>
      <c r="X48" s="35">
        <f>+ROUND(AVERAGE(L48,M48,Q48,S48,T48),2)</f>
        <v>10752705.289999999</v>
      </c>
      <c r="Y48" s="35">
        <f t="shared" si="3"/>
        <v>9172502.6500000004</v>
      </c>
    </row>
    <row r="49" spans="1:25" ht="24.75" customHeight="1" x14ac:dyDescent="0.25">
      <c r="A49" s="19">
        <v>38</v>
      </c>
      <c r="B49" s="8" t="s">
        <v>361</v>
      </c>
      <c r="C49" s="2" t="s">
        <v>360</v>
      </c>
      <c r="D49" s="9">
        <v>2</v>
      </c>
      <c r="E49" s="12">
        <v>1</v>
      </c>
      <c r="F49" s="21">
        <v>14297335.130000001</v>
      </c>
      <c r="G49" s="25">
        <f>'1. Parámetros'!$B$28</f>
        <v>1.85</v>
      </c>
      <c r="H49" s="26">
        <f>D49*E49*F49*G49</f>
        <v>52900139.981000006</v>
      </c>
      <c r="I49" s="20">
        <f>'1. Parámetros'!$B$4</f>
        <v>36</v>
      </c>
      <c r="J49" s="45">
        <f t="shared" ref="J49:J52" si="14">ROUND(H49*I49,2)</f>
        <v>1904405039.3199999</v>
      </c>
      <c r="L49" s="38">
        <v>11459739.949999999</v>
      </c>
      <c r="M49" s="38">
        <v>13486486.48</v>
      </c>
      <c r="N49" s="38">
        <v>25618407.27916329</v>
      </c>
      <c r="O49" s="38">
        <v>18275000</v>
      </c>
      <c r="P49" s="38">
        <v>17500000</v>
      </c>
      <c r="Q49" s="38">
        <v>10230000</v>
      </c>
      <c r="R49" s="38">
        <v>31062400</v>
      </c>
      <c r="S49" s="38">
        <v>21126049.199999999</v>
      </c>
      <c r="T49" s="38">
        <v>15184400</v>
      </c>
      <c r="U49" s="40"/>
      <c r="V49" s="35">
        <f t="shared" si="1"/>
        <v>10230000</v>
      </c>
      <c r="W49" s="35">
        <f t="shared" si="2"/>
        <v>31062400</v>
      </c>
      <c r="X49" s="35">
        <f t="shared" ref="X49:X51" si="15">+ROUND(AVERAGE(L49,M49,Q49,S49,T49),2)</f>
        <v>14297335.130000001</v>
      </c>
      <c r="Y49" s="35">
        <f t="shared" si="3"/>
        <v>12263667.57</v>
      </c>
    </row>
    <row r="50" spans="1:25" ht="24.75" customHeight="1" x14ac:dyDescent="0.25">
      <c r="A50" s="19">
        <v>39</v>
      </c>
      <c r="B50" s="8" t="s">
        <v>362</v>
      </c>
      <c r="C50" s="2" t="s">
        <v>360</v>
      </c>
      <c r="D50" s="9">
        <v>1</v>
      </c>
      <c r="E50" s="12">
        <v>1</v>
      </c>
      <c r="F50" s="21">
        <v>10834962.970000001</v>
      </c>
      <c r="G50" s="25">
        <f>'1. Parámetros'!$B$28</f>
        <v>1.85</v>
      </c>
      <c r="H50" s="26">
        <f>D50*E50*F50*G50</f>
        <v>20044681.494500004</v>
      </c>
      <c r="I50" s="20">
        <f>'1. Parámetros'!$B$4</f>
        <v>36</v>
      </c>
      <c r="J50" s="45">
        <f t="shared" si="14"/>
        <v>721608533.79999995</v>
      </c>
      <c r="L50" s="38">
        <v>12666028.359999999</v>
      </c>
      <c r="M50" s="38">
        <v>13486486.48</v>
      </c>
      <c r="N50" s="38">
        <v>22752679.396621648</v>
      </c>
      <c r="O50" s="38">
        <v>21250000</v>
      </c>
      <c r="P50" s="38">
        <v>17500000</v>
      </c>
      <c r="Q50" s="38">
        <v>10230000</v>
      </c>
      <c r="R50" s="38">
        <v>33238400</v>
      </c>
      <c r="S50" s="38">
        <v>10200000</v>
      </c>
      <c r="T50" s="38">
        <v>7592300</v>
      </c>
      <c r="U50" s="40"/>
      <c r="V50" s="35">
        <f t="shared" si="1"/>
        <v>7592300</v>
      </c>
      <c r="W50" s="35">
        <f t="shared" si="2"/>
        <v>33238400</v>
      </c>
      <c r="X50" s="35">
        <f t="shared" si="15"/>
        <v>10834962.970000001</v>
      </c>
      <c r="Y50" s="35">
        <f t="shared" si="3"/>
        <v>9213631.4900000002</v>
      </c>
    </row>
    <row r="51" spans="1:25" ht="24.75" customHeight="1" x14ac:dyDescent="0.25">
      <c r="A51" s="19">
        <v>40</v>
      </c>
      <c r="B51" s="8" t="s">
        <v>363</v>
      </c>
      <c r="C51" s="2" t="s">
        <v>360</v>
      </c>
      <c r="D51" s="9">
        <v>1</v>
      </c>
      <c r="E51" s="12">
        <v>1</v>
      </c>
      <c r="F51" s="21">
        <v>11261591.810000001</v>
      </c>
      <c r="G51" s="25">
        <f>'1. Parámetros'!$B$28</f>
        <v>1.85</v>
      </c>
      <c r="H51" s="26">
        <f>D51*E51*F51*G51</f>
        <v>20833944.848500002</v>
      </c>
      <c r="I51" s="20">
        <f>'1. Parámetros'!$B$4</f>
        <v>36</v>
      </c>
      <c r="J51" s="45">
        <f t="shared" si="14"/>
        <v>750022014.54999995</v>
      </c>
      <c r="L51" s="38">
        <v>13269172.57</v>
      </c>
      <c r="M51" s="38">
        <v>13486486.48</v>
      </c>
      <c r="N51" s="38">
        <v>27431571.058783766</v>
      </c>
      <c r="O51" s="38">
        <v>27540000</v>
      </c>
      <c r="P51" s="38">
        <v>19250000</v>
      </c>
      <c r="Q51" s="38">
        <v>11160000</v>
      </c>
      <c r="R51" s="38">
        <v>46501120.000000007</v>
      </c>
      <c r="S51" s="38">
        <v>10800000</v>
      </c>
      <c r="T51" s="38">
        <v>7592300</v>
      </c>
      <c r="U51" s="40"/>
      <c r="V51" s="35">
        <f t="shared" si="1"/>
        <v>7592300</v>
      </c>
      <c r="W51" s="35">
        <f t="shared" si="2"/>
        <v>46501120.000000007</v>
      </c>
      <c r="X51" s="35">
        <f t="shared" si="15"/>
        <v>11261591.810000001</v>
      </c>
      <c r="Y51" s="35">
        <f t="shared" si="3"/>
        <v>9426945.9100000001</v>
      </c>
    </row>
    <row r="52" spans="1:25" x14ac:dyDescent="0.25">
      <c r="A52" s="19">
        <v>41</v>
      </c>
      <c r="B52" s="8" t="s">
        <v>364</v>
      </c>
      <c r="C52" s="2" t="s">
        <v>360</v>
      </c>
      <c r="D52" s="9">
        <v>4</v>
      </c>
      <c r="E52" s="12">
        <v>1</v>
      </c>
      <c r="F52" s="21">
        <v>6213486.6799999997</v>
      </c>
      <c r="G52" s="25">
        <f>'1. Parámetros'!$B$28</f>
        <v>1.85</v>
      </c>
      <c r="H52" s="26">
        <f>D52*E52*F52*G52</f>
        <v>45979801.431999996</v>
      </c>
      <c r="I52" s="20">
        <f>'1. Parámetros'!$B$4</f>
        <v>36</v>
      </c>
      <c r="J52" s="45">
        <f t="shared" si="14"/>
        <v>1655272851.55</v>
      </c>
      <c r="L52" s="38">
        <v>7237730.5</v>
      </c>
      <c r="M52" s="38">
        <v>4216216.2162162159</v>
      </c>
      <c r="N52" s="38">
        <v>17607598.546621617</v>
      </c>
      <c r="O52" s="38">
        <v>15725000</v>
      </c>
      <c r="P52" s="38">
        <v>8750000</v>
      </c>
      <c r="Q52" s="38">
        <v>4650000</v>
      </c>
      <c r="R52" s="38">
        <v>18408960</v>
      </c>
      <c r="S52" s="38">
        <v>11882754</v>
      </c>
      <c r="T52" s="38">
        <v>3226700</v>
      </c>
      <c r="U52" s="40"/>
      <c r="V52" s="35">
        <f t="shared" si="1"/>
        <v>3226700</v>
      </c>
      <c r="W52" s="35">
        <f t="shared" si="2"/>
        <v>18408960</v>
      </c>
      <c r="X52" s="35">
        <f>+ROUND(AVERAGE(L52,M52,P52,Q52),2)</f>
        <v>6213486.6799999997</v>
      </c>
      <c r="Y52" s="35">
        <f t="shared" si="3"/>
        <v>4720093.34</v>
      </c>
    </row>
    <row r="54" spans="1:25" ht="30" customHeight="1" x14ac:dyDescent="0.25">
      <c r="A54" s="53" t="s">
        <v>365</v>
      </c>
      <c r="B54" s="53"/>
      <c r="C54" s="53"/>
      <c r="D54" s="53"/>
      <c r="E54" s="53"/>
      <c r="F54" s="53"/>
      <c r="G54" s="53"/>
      <c r="H54" s="53"/>
      <c r="I54" s="53"/>
      <c r="J54" s="48">
        <f>SUMIF(B6:B52,"&lt;&gt;",J6:J52)</f>
        <v>56027499526.940018</v>
      </c>
    </row>
    <row r="56" spans="1:25" x14ac:dyDescent="0.25">
      <c r="J56" s="39"/>
    </row>
    <row r="57" spans="1:25" x14ac:dyDescent="0.25">
      <c r="J57" s="43"/>
    </row>
  </sheetData>
  <mergeCells count="10">
    <mergeCell ref="A1:J1"/>
    <mergeCell ref="A2:J2"/>
    <mergeCell ref="A5:J5"/>
    <mergeCell ref="A10:J10"/>
    <mergeCell ref="A17:J17"/>
    <mergeCell ref="A31:J31"/>
    <mergeCell ref="A37:J37"/>
    <mergeCell ref="A41:J41"/>
    <mergeCell ref="A47:J47"/>
    <mergeCell ref="A54:I54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V32"/>
  <sheetViews>
    <sheetView topLeftCell="G1" zoomScaleNormal="100" workbookViewId="0">
      <selection activeCell="I5" sqref="I5:V29"/>
    </sheetView>
  </sheetViews>
  <sheetFormatPr baseColWidth="10" defaultColWidth="8.42578125" defaultRowHeight="15" x14ac:dyDescent="0.25"/>
  <cols>
    <col min="1" max="1" width="6" customWidth="1"/>
    <col min="2" max="2" width="46" customWidth="1"/>
    <col min="3" max="3" width="16" customWidth="1"/>
    <col min="4" max="4" width="10" customWidth="1"/>
    <col min="5" max="5" width="18" customWidth="1"/>
    <col min="6" max="6" width="8" customWidth="1"/>
    <col min="7" max="7" width="24.140625" bestFit="1" customWidth="1"/>
    <col min="8" max="8" width="3.28515625" customWidth="1"/>
    <col min="9" max="9" width="19.85546875" customWidth="1"/>
    <col min="10" max="10" width="24" customWidth="1"/>
    <col min="11" max="11" width="18.28515625" bestFit="1" customWidth="1"/>
    <col min="12" max="17" width="17.140625" customWidth="1"/>
    <col min="19" max="19" width="16.85546875" customWidth="1"/>
    <col min="20" max="21" width="18.28515625" bestFit="1" customWidth="1"/>
    <col min="22" max="22" width="16.85546875" customWidth="1"/>
  </cols>
  <sheetData>
    <row r="1" spans="1:22" ht="30" customHeight="1" x14ac:dyDescent="0.25">
      <c r="A1" s="54" t="s">
        <v>366</v>
      </c>
      <c r="B1" s="54"/>
      <c r="C1" s="54"/>
      <c r="D1" s="54"/>
      <c r="E1" s="54"/>
      <c r="F1" s="54"/>
      <c r="G1" s="54"/>
    </row>
    <row r="3" spans="1:22" ht="37.5" customHeight="1" x14ac:dyDescent="0.25">
      <c r="A3" s="1" t="s">
        <v>3</v>
      </c>
      <c r="B3" s="1" t="s">
        <v>367</v>
      </c>
      <c r="C3" s="1" t="s">
        <v>42</v>
      </c>
      <c r="D3" s="1" t="s">
        <v>144</v>
      </c>
      <c r="E3" s="1" t="s">
        <v>368</v>
      </c>
      <c r="F3" s="1" t="s">
        <v>146</v>
      </c>
      <c r="G3" s="1" t="s">
        <v>369</v>
      </c>
      <c r="I3" s="27" t="s">
        <v>403</v>
      </c>
      <c r="J3" s="27" t="s">
        <v>404</v>
      </c>
      <c r="K3" s="27" t="s">
        <v>405</v>
      </c>
      <c r="L3" s="27" t="s">
        <v>406</v>
      </c>
      <c r="M3" s="27" t="s">
        <v>407</v>
      </c>
      <c r="N3" s="27" t="s">
        <v>408</v>
      </c>
      <c r="O3" s="27" t="s">
        <v>409</v>
      </c>
      <c r="P3" s="27" t="s">
        <v>410</v>
      </c>
      <c r="Q3" s="27" t="s">
        <v>411</v>
      </c>
      <c r="S3" s="27" t="s">
        <v>414</v>
      </c>
      <c r="T3" s="27" t="s">
        <v>415</v>
      </c>
      <c r="U3" s="27" t="s">
        <v>412</v>
      </c>
      <c r="V3" s="27" t="s">
        <v>413</v>
      </c>
    </row>
    <row r="4" spans="1:22" ht="15" customHeight="1" x14ac:dyDescent="0.25">
      <c r="A4" s="56" t="s">
        <v>370</v>
      </c>
      <c r="B4" s="56"/>
      <c r="C4" s="56"/>
      <c r="D4" s="56"/>
      <c r="E4" s="56"/>
      <c r="F4" s="56"/>
      <c r="G4" s="56"/>
    </row>
    <row r="5" spans="1:22" ht="30" customHeight="1" x14ac:dyDescent="0.25">
      <c r="A5" s="19">
        <v>1</v>
      </c>
      <c r="B5" s="8" t="s">
        <v>371</v>
      </c>
      <c r="C5" s="10" t="s">
        <v>372</v>
      </c>
      <c r="D5" s="9">
        <v>1</v>
      </c>
      <c r="E5" s="21">
        <v>98553853.319999993</v>
      </c>
      <c r="F5" s="9">
        <v>1</v>
      </c>
      <c r="G5" s="45">
        <f>ROUND(D5*E5*F5,2)</f>
        <v>98553853.319999993</v>
      </c>
      <c r="I5" s="38">
        <v>96503073.230000004</v>
      </c>
      <c r="J5" s="38">
        <v>230000000</v>
      </c>
      <c r="K5" s="38">
        <v>14875000</v>
      </c>
      <c r="L5" s="38">
        <v>168000000</v>
      </c>
      <c r="M5" s="38">
        <v>345000000</v>
      </c>
      <c r="N5" s="38">
        <v>26600000</v>
      </c>
      <c r="O5" s="38">
        <v>600576000</v>
      </c>
      <c r="P5" s="38">
        <v>96000000</v>
      </c>
      <c r="Q5" s="38">
        <v>57898900</v>
      </c>
      <c r="R5" s="40"/>
      <c r="S5" s="35">
        <f>+MIN(I5:Q5)</f>
        <v>14875000</v>
      </c>
      <c r="T5" s="35">
        <f>+MAX(I5:Q5)</f>
        <v>600576000</v>
      </c>
      <c r="U5" s="35">
        <f>+ROUND(AVERAGE(I5,J5,K5,L5,N5,P5,Q5),2)</f>
        <v>98553853.319999993</v>
      </c>
      <c r="V5" s="35">
        <f>+ROUND(AVERAGE(S5,U5),2)</f>
        <v>56714426.659999996</v>
      </c>
    </row>
    <row r="6" spans="1:22" ht="30" customHeight="1" x14ac:dyDescent="0.25">
      <c r="A6" s="19">
        <v>2</v>
      </c>
      <c r="B6" s="8" t="s">
        <v>373</v>
      </c>
      <c r="C6" s="10" t="s">
        <v>374</v>
      </c>
      <c r="D6" s="9">
        <v>1</v>
      </c>
      <c r="E6" s="21">
        <v>93546429.280000001</v>
      </c>
      <c r="F6" s="9">
        <v>1</v>
      </c>
      <c r="G6" s="45">
        <f t="shared" ref="G6:G11" si="0">ROUND(D6*E6*F6,2)</f>
        <v>93546429.280000001</v>
      </c>
      <c r="I6" s="38">
        <v>72377304.930000007</v>
      </c>
      <c r="J6" s="38">
        <v>150000000</v>
      </c>
      <c r="K6" s="38">
        <v>65450000</v>
      </c>
      <c r="L6" s="38">
        <v>145000000</v>
      </c>
      <c r="M6" s="38">
        <v>540000000</v>
      </c>
      <c r="N6" s="38">
        <v>34200000</v>
      </c>
      <c r="O6" s="38">
        <v>925344000.00000012</v>
      </c>
      <c r="P6" s="38">
        <v>72000000</v>
      </c>
      <c r="Q6" s="38">
        <v>115797700</v>
      </c>
      <c r="R6" s="40"/>
      <c r="S6" s="35">
        <f t="shared" ref="S6:S29" si="1">+MIN(I6:Q6)</f>
        <v>34200000</v>
      </c>
      <c r="T6" s="35">
        <f t="shared" ref="T6:T29" si="2">+MAX(I6:Q6)</f>
        <v>925344000.00000012</v>
      </c>
      <c r="U6" s="35">
        <f>+ROUND(AVERAGE(I6,J6,K6,L6,N6,P6,Q6),2)</f>
        <v>93546429.280000001</v>
      </c>
      <c r="V6" s="35">
        <f t="shared" ref="V6:V29" si="3">+ROUND(AVERAGE(S6,U6),2)</f>
        <v>63873214.640000001</v>
      </c>
    </row>
    <row r="7" spans="1:22" ht="30" customHeight="1" x14ac:dyDescent="0.25">
      <c r="A7" s="19">
        <v>3</v>
      </c>
      <c r="B7" s="8" t="s">
        <v>375</v>
      </c>
      <c r="C7" s="10" t="s">
        <v>376</v>
      </c>
      <c r="D7" s="9">
        <v>1</v>
      </c>
      <c r="E7" s="21">
        <v>74901768.310000002</v>
      </c>
      <c r="F7" s="9">
        <v>1</v>
      </c>
      <c r="G7" s="45">
        <f t="shared" si="0"/>
        <v>74901768.310000002</v>
      </c>
      <c r="I7" s="38">
        <v>120628841.54000001</v>
      </c>
      <c r="J7" s="38">
        <v>150000000</v>
      </c>
      <c r="K7" s="38">
        <v>38080000</v>
      </c>
      <c r="L7" s="38">
        <v>95000000</v>
      </c>
      <c r="M7" s="38">
        <v>156000000</v>
      </c>
      <c r="N7" s="38">
        <v>60800000</v>
      </c>
      <c r="O7" s="38">
        <v>275808000</v>
      </c>
      <c r="P7" s="38">
        <v>60000000</v>
      </c>
      <c r="Q7" s="38">
        <v>231595400</v>
      </c>
      <c r="R7" s="40"/>
      <c r="S7" s="35">
        <f t="shared" si="1"/>
        <v>38080000</v>
      </c>
      <c r="T7" s="35">
        <f t="shared" si="2"/>
        <v>275808000</v>
      </c>
      <c r="U7" s="35">
        <f>+ROUND(AVERAGE(I7,K7,L7,N7,P7),2)</f>
        <v>74901768.310000002</v>
      </c>
      <c r="V7" s="35">
        <f t="shared" si="3"/>
        <v>56490884.159999996</v>
      </c>
    </row>
    <row r="8" spans="1:22" ht="30" customHeight="1" x14ac:dyDescent="0.25">
      <c r="A8" s="19">
        <v>4</v>
      </c>
      <c r="B8" s="8" t="s">
        <v>377</v>
      </c>
      <c r="C8" s="10" t="s">
        <v>372</v>
      </c>
      <c r="D8" s="9">
        <v>1</v>
      </c>
      <c r="E8" s="21">
        <v>19673583.329999998</v>
      </c>
      <c r="F8" s="9">
        <v>1</v>
      </c>
      <c r="G8" s="45">
        <f t="shared" si="0"/>
        <v>19673583.329999998</v>
      </c>
      <c r="I8" s="38">
        <v>60314420.770000003</v>
      </c>
      <c r="J8" s="38">
        <v>20000000</v>
      </c>
      <c r="K8" s="38">
        <v>14101500</v>
      </c>
      <c r="L8" s="38">
        <v>16500000</v>
      </c>
      <c r="M8" s="38">
        <v>17500000</v>
      </c>
      <c r="N8" s="38">
        <v>19000000</v>
      </c>
      <c r="O8" s="38">
        <v>30940000.000000004</v>
      </c>
      <c r="P8" s="38">
        <v>84000000</v>
      </c>
      <c r="Q8" s="38">
        <v>173696400</v>
      </c>
      <c r="R8" s="40"/>
      <c r="S8" s="35">
        <f t="shared" si="1"/>
        <v>14101500</v>
      </c>
      <c r="T8" s="35">
        <f t="shared" si="2"/>
        <v>173696400</v>
      </c>
      <c r="U8" s="35">
        <f>+ROUND(AVERAGE(J8,K8,L8,M8,N8,O8),2)</f>
        <v>19673583.329999998</v>
      </c>
      <c r="V8" s="35">
        <f t="shared" si="3"/>
        <v>16887541.670000002</v>
      </c>
    </row>
    <row r="9" spans="1:22" ht="30" customHeight="1" x14ac:dyDescent="0.25">
      <c r="A9" s="19">
        <v>5</v>
      </c>
      <c r="B9" s="8" t="s">
        <v>378</v>
      </c>
      <c r="C9" s="10" t="s">
        <v>379</v>
      </c>
      <c r="D9" s="9">
        <v>1</v>
      </c>
      <c r="E9" s="21">
        <v>27065025.41</v>
      </c>
      <c r="F9" s="9">
        <v>1</v>
      </c>
      <c r="G9" s="45">
        <f t="shared" si="0"/>
        <v>27065025.41</v>
      </c>
      <c r="I9" s="38">
        <v>36188652.460000001</v>
      </c>
      <c r="J9" s="38">
        <v>80000000</v>
      </c>
      <c r="K9" s="38">
        <v>14101500</v>
      </c>
      <c r="L9" s="38">
        <v>19500000</v>
      </c>
      <c r="M9" s="38">
        <v>45200000</v>
      </c>
      <c r="N9" s="38">
        <v>11400000</v>
      </c>
      <c r="O9" s="38">
        <v>79301600</v>
      </c>
      <c r="P9" s="38">
        <v>36000000</v>
      </c>
      <c r="Q9" s="38">
        <v>57898500</v>
      </c>
      <c r="R9" s="40"/>
      <c r="S9" s="35">
        <f t="shared" si="1"/>
        <v>11400000</v>
      </c>
      <c r="T9" s="35">
        <f t="shared" si="2"/>
        <v>80000000</v>
      </c>
      <c r="U9" s="35">
        <f>+ROUND(AVERAGE(I9,K9,L9,M9,N9,P9),2)</f>
        <v>27065025.41</v>
      </c>
      <c r="V9" s="35">
        <f t="shared" si="3"/>
        <v>19232512.710000001</v>
      </c>
    </row>
    <row r="10" spans="1:22" ht="30" customHeight="1" x14ac:dyDescent="0.25">
      <c r="A10" s="19">
        <v>6</v>
      </c>
      <c r="B10" s="8" t="s">
        <v>380</v>
      </c>
      <c r="C10" s="10" t="s">
        <v>381</v>
      </c>
      <c r="D10" s="9">
        <v>10</v>
      </c>
      <c r="E10" s="21">
        <v>116065239.53</v>
      </c>
      <c r="F10" s="9">
        <v>1</v>
      </c>
      <c r="G10" s="45">
        <f t="shared" si="0"/>
        <v>1160652395.3</v>
      </c>
      <c r="I10" s="38">
        <v>54641876.740000002</v>
      </c>
      <c r="J10" s="38">
        <v>4716907510</v>
      </c>
      <c r="K10" s="38">
        <v>5067353443.7948723</v>
      </c>
      <c r="L10" s="38">
        <v>52000000</v>
      </c>
      <c r="M10" s="38">
        <v>96500000</v>
      </c>
      <c r="N10" s="38">
        <v>136800000</v>
      </c>
      <c r="O10" s="38">
        <v>153557600</v>
      </c>
      <c r="P10" s="38">
        <v>180000000</v>
      </c>
      <c r="Q10" s="38">
        <v>138957200</v>
      </c>
      <c r="R10" s="40"/>
      <c r="S10" s="35">
        <f t="shared" si="1"/>
        <v>52000000</v>
      </c>
      <c r="T10" s="35">
        <f t="shared" si="2"/>
        <v>5067353443.7948723</v>
      </c>
      <c r="U10" s="35">
        <f>+ROUND(AVERAGE(I10,L10,M10,N10,O10,P10,Q10),2)</f>
        <v>116065239.53</v>
      </c>
      <c r="V10" s="35">
        <f t="shared" si="3"/>
        <v>84032619.769999996</v>
      </c>
    </row>
    <row r="11" spans="1:22" ht="30" customHeight="1" x14ac:dyDescent="0.25">
      <c r="A11" s="19">
        <v>7</v>
      </c>
      <c r="B11" s="8" t="s">
        <v>382</v>
      </c>
      <c r="C11" s="10" t="s">
        <v>288</v>
      </c>
      <c r="D11" s="9">
        <v>876</v>
      </c>
      <c r="E11" s="21">
        <v>1907505.12</v>
      </c>
      <c r="F11" s="9">
        <v>1</v>
      </c>
      <c r="G11" s="45">
        <f t="shared" si="0"/>
        <v>1670974485.1199999</v>
      </c>
      <c r="I11" s="38">
        <v>965030.73</v>
      </c>
      <c r="J11" s="38">
        <v>3100000</v>
      </c>
      <c r="K11" s="38">
        <v>11305000</v>
      </c>
      <c r="L11" s="38">
        <v>1850000</v>
      </c>
      <c r="M11" s="38">
        <v>3850000</v>
      </c>
      <c r="N11" s="38">
        <v>1140000</v>
      </c>
      <c r="O11" s="38">
        <v>6650400.0000000009</v>
      </c>
      <c r="P11" s="38">
        <v>540000</v>
      </c>
      <c r="Q11" s="38">
        <v>5790000</v>
      </c>
      <c r="R11" s="40"/>
      <c r="S11" s="35">
        <f t="shared" si="1"/>
        <v>540000</v>
      </c>
      <c r="T11" s="35">
        <f t="shared" si="2"/>
        <v>11305000</v>
      </c>
      <c r="U11" s="35">
        <f>+ROUND(AVERAGE(I11,J11,L11,M11,N11,P11),2)</f>
        <v>1907505.12</v>
      </c>
      <c r="V11" s="35">
        <f t="shared" si="3"/>
        <v>1223752.56</v>
      </c>
    </row>
    <row r="12" spans="1:22" x14ac:dyDescent="0.25">
      <c r="A12" s="52" t="s">
        <v>383</v>
      </c>
      <c r="B12" s="52"/>
      <c r="C12" s="52"/>
      <c r="D12" s="52"/>
      <c r="E12" s="52"/>
      <c r="F12" s="52"/>
      <c r="G12" s="46">
        <f>SUM(G5:G11)</f>
        <v>3145367540.0699997</v>
      </c>
      <c r="I12" s="75"/>
      <c r="J12" s="75"/>
      <c r="K12" s="75"/>
      <c r="L12" s="75"/>
      <c r="M12" s="75"/>
      <c r="N12" s="75"/>
      <c r="O12" s="75"/>
      <c r="P12" s="75"/>
      <c r="Q12" s="75"/>
      <c r="R12" s="40"/>
      <c r="S12" s="76"/>
      <c r="T12" s="76"/>
      <c r="U12" s="76"/>
      <c r="V12" s="76"/>
    </row>
    <row r="13" spans="1:22" x14ac:dyDescent="0.25">
      <c r="I13" s="75"/>
      <c r="J13" s="75"/>
      <c r="K13" s="75"/>
      <c r="L13" s="75"/>
      <c r="M13" s="75"/>
      <c r="N13" s="75"/>
      <c r="O13" s="75"/>
      <c r="P13" s="75"/>
      <c r="Q13" s="75"/>
      <c r="R13" s="40"/>
      <c r="S13" s="76"/>
      <c r="T13" s="76"/>
      <c r="U13" s="76"/>
      <c r="V13" s="76"/>
    </row>
    <row r="14" spans="1:22" ht="15" customHeight="1" x14ac:dyDescent="0.25">
      <c r="A14" s="56" t="s">
        <v>384</v>
      </c>
      <c r="B14" s="56"/>
      <c r="C14" s="56"/>
      <c r="D14" s="56"/>
      <c r="E14" s="56"/>
      <c r="F14" s="56"/>
      <c r="G14" s="56"/>
      <c r="I14" s="75"/>
      <c r="J14" s="75"/>
      <c r="K14" s="75"/>
      <c r="L14" s="75"/>
      <c r="M14" s="75"/>
      <c r="N14" s="75"/>
      <c r="O14" s="75"/>
      <c r="P14" s="75"/>
      <c r="Q14" s="75"/>
      <c r="R14" s="40"/>
      <c r="S14" s="76"/>
      <c r="T14" s="76"/>
      <c r="U14" s="76"/>
      <c r="V14" s="76"/>
    </row>
    <row r="15" spans="1:22" ht="30" customHeight="1" x14ac:dyDescent="0.25">
      <c r="A15" s="19">
        <v>1</v>
      </c>
      <c r="B15" s="8" t="s">
        <v>385</v>
      </c>
      <c r="C15" s="10" t="s">
        <v>176</v>
      </c>
      <c r="D15" s="9">
        <v>1</v>
      </c>
      <c r="E15" s="21">
        <v>17644985.539999999</v>
      </c>
      <c r="F15" s="9">
        <v>36</v>
      </c>
      <c r="G15" s="45">
        <f>ROUND(D15*E15*F15,2)</f>
        <v>635219479.44000006</v>
      </c>
      <c r="I15" s="38">
        <v>30157210.390000001</v>
      </c>
      <c r="J15" s="38">
        <v>16174927.68830556</v>
      </c>
      <c r="K15" s="38">
        <v>17850000</v>
      </c>
      <c r="L15" s="38">
        <v>21500000</v>
      </c>
      <c r="M15" s="38">
        <v>17500000</v>
      </c>
      <c r="N15" s="38">
        <v>15200000</v>
      </c>
      <c r="O15" s="38">
        <v>28804800.000000004</v>
      </c>
      <c r="P15" s="38">
        <v>30000000</v>
      </c>
      <c r="Q15" s="38">
        <v>580432900</v>
      </c>
      <c r="R15" s="40"/>
      <c r="S15" s="35">
        <f t="shared" si="1"/>
        <v>15200000</v>
      </c>
      <c r="T15" s="35">
        <f t="shared" si="2"/>
        <v>580432900</v>
      </c>
      <c r="U15" s="35">
        <f>+ROUND(AVERAGE(J15,K15,L15,M15,N15),2)</f>
        <v>17644985.539999999</v>
      </c>
      <c r="V15" s="35">
        <f t="shared" si="3"/>
        <v>16422492.77</v>
      </c>
    </row>
    <row r="16" spans="1:22" ht="30" customHeight="1" x14ac:dyDescent="0.25">
      <c r="A16" s="19">
        <v>2</v>
      </c>
      <c r="B16" s="8" t="s">
        <v>386</v>
      </c>
      <c r="C16" s="10" t="s">
        <v>176</v>
      </c>
      <c r="D16" s="9">
        <v>1</v>
      </c>
      <c r="E16" s="21">
        <v>19024300</v>
      </c>
      <c r="F16" s="9">
        <v>36</v>
      </c>
      <c r="G16" s="45">
        <f t="shared" ref="G16:G18" si="4">ROUND(D16*E16*F16,2)</f>
        <v>684874800</v>
      </c>
      <c r="I16" s="38">
        <v>30157210.390000001</v>
      </c>
      <c r="J16" s="38">
        <v>18356000</v>
      </c>
      <c r="K16" s="38">
        <v>21420000</v>
      </c>
      <c r="L16" s="38">
        <v>18500000</v>
      </c>
      <c r="M16" s="38">
        <v>21645500</v>
      </c>
      <c r="N16" s="38">
        <v>15200000</v>
      </c>
      <c r="O16" s="38">
        <v>37100800</v>
      </c>
      <c r="P16" s="38">
        <v>36000000</v>
      </c>
      <c r="Q16" s="38">
        <v>464346300</v>
      </c>
      <c r="R16" s="40"/>
      <c r="S16" s="35">
        <f t="shared" si="1"/>
        <v>15200000</v>
      </c>
      <c r="T16" s="35">
        <f t="shared" si="2"/>
        <v>464346300</v>
      </c>
      <c r="U16" s="35">
        <f>+ROUND(AVERAGE(J16,K16,L16,M16,N16),2)</f>
        <v>19024300</v>
      </c>
      <c r="V16" s="35">
        <f t="shared" si="3"/>
        <v>17112150</v>
      </c>
    </row>
    <row r="17" spans="1:22" ht="30" customHeight="1" x14ac:dyDescent="0.25">
      <c r="A17" s="19">
        <v>3</v>
      </c>
      <c r="B17" s="8" t="s">
        <v>387</v>
      </c>
      <c r="C17" s="10" t="s">
        <v>176</v>
      </c>
      <c r="D17" s="9">
        <v>1</v>
      </c>
      <c r="E17" s="21">
        <v>14919104.369999999</v>
      </c>
      <c r="F17" s="9">
        <v>36</v>
      </c>
      <c r="G17" s="45">
        <f t="shared" si="4"/>
        <v>537087757.32000005</v>
      </c>
      <c r="I17" s="38">
        <v>18094326.23</v>
      </c>
      <c r="J17" s="38">
        <v>50000000</v>
      </c>
      <c r="K17" s="38">
        <v>11305000</v>
      </c>
      <c r="L17" s="38">
        <v>17500000</v>
      </c>
      <c r="M17" s="38">
        <v>18535300</v>
      </c>
      <c r="N17" s="38">
        <v>6080000</v>
      </c>
      <c r="O17" s="38">
        <v>30260000.000000004</v>
      </c>
      <c r="P17" s="38">
        <v>18000000</v>
      </c>
      <c r="Q17" s="38">
        <v>348259700</v>
      </c>
      <c r="R17" s="40"/>
      <c r="S17" s="35">
        <f t="shared" si="1"/>
        <v>6080000</v>
      </c>
      <c r="T17" s="35">
        <f t="shared" si="2"/>
        <v>348259700</v>
      </c>
      <c r="U17" s="35">
        <f>+ROUND(AVERAGE(I17,K17,L17,M17,N17,P17),2)</f>
        <v>14919104.369999999</v>
      </c>
      <c r="V17" s="35">
        <f t="shared" si="3"/>
        <v>10499552.189999999</v>
      </c>
    </row>
    <row r="18" spans="1:22" ht="30" customHeight="1" x14ac:dyDescent="0.25">
      <c r="A18" s="19">
        <v>4</v>
      </c>
      <c r="B18" s="8" t="s">
        <v>388</v>
      </c>
      <c r="C18" s="10" t="s">
        <v>176</v>
      </c>
      <c r="D18" s="9">
        <v>1</v>
      </c>
      <c r="E18" s="21">
        <v>16087387.710000001</v>
      </c>
      <c r="F18" s="9">
        <v>36</v>
      </c>
      <c r="G18" s="45">
        <f t="shared" si="4"/>
        <v>579145957.55999994</v>
      </c>
      <c r="I18" s="38">
        <v>18094326.23</v>
      </c>
      <c r="J18" s="38">
        <v>17980000</v>
      </c>
      <c r="K18" s="38">
        <v>13090000</v>
      </c>
      <c r="L18" s="38">
        <v>21200000</v>
      </c>
      <c r="M18" s="38">
        <v>47800000</v>
      </c>
      <c r="N18" s="38">
        <v>4560000</v>
      </c>
      <c r="O18" s="38">
        <v>84510400</v>
      </c>
      <c r="P18" s="38">
        <v>21600000</v>
      </c>
      <c r="Q18" s="38">
        <v>464346300</v>
      </c>
      <c r="R18" s="40"/>
      <c r="S18" s="35">
        <f t="shared" si="1"/>
        <v>4560000</v>
      </c>
      <c r="T18" s="35">
        <f t="shared" si="2"/>
        <v>464346300</v>
      </c>
      <c r="U18" s="35">
        <f>+ROUND(AVERAGE(I18,J18,K18,L18,N18,P18),2)</f>
        <v>16087387.710000001</v>
      </c>
      <c r="V18" s="35">
        <f t="shared" si="3"/>
        <v>10323693.859999999</v>
      </c>
    </row>
    <row r="19" spans="1:22" x14ac:dyDescent="0.25">
      <c r="A19" s="52" t="s">
        <v>389</v>
      </c>
      <c r="B19" s="52"/>
      <c r="C19" s="52"/>
      <c r="D19" s="52"/>
      <c r="E19" s="52"/>
      <c r="F19" s="52"/>
      <c r="G19" s="46">
        <f>SUM(G15:G18)</f>
        <v>2436327994.3200002</v>
      </c>
      <c r="I19" s="75"/>
      <c r="J19" s="75"/>
      <c r="K19" s="75"/>
      <c r="L19" s="75"/>
      <c r="M19" s="75"/>
      <c r="N19" s="75"/>
      <c r="O19" s="75"/>
      <c r="P19" s="75"/>
      <c r="Q19" s="75"/>
      <c r="R19" s="40"/>
      <c r="S19" s="76"/>
      <c r="T19" s="76"/>
      <c r="U19" s="76"/>
      <c r="V19" s="76"/>
    </row>
    <row r="20" spans="1:22" x14ac:dyDescent="0.25">
      <c r="I20" s="75"/>
      <c r="J20" s="75"/>
      <c r="K20" s="75"/>
      <c r="L20" s="75"/>
      <c r="M20" s="75"/>
      <c r="N20" s="75"/>
      <c r="O20" s="75"/>
      <c r="P20" s="75"/>
      <c r="Q20" s="75"/>
      <c r="R20" s="40"/>
      <c r="S20" s="76"/>
      <c r="T20" s="76"/>
      <c r="U20" s="76"/>
      <c r="V20" s="76"/>
    </row>
    <row r="21" spans="1:22" ht="15" customHeight="1" x14ac:dyDescent="0.25">
      <c r="A21" s="56" t="s">
        <v>390</v>
      </c>
      <c r="B21" s="56"/>
      <c r="C21" s="56"/>
      <c r="D21" s="56"/>
      <c r="E21" s="56"/>
      <c r="F21" s="56"/>
      <c r="G21" s="56"/>
      <c r="I21" s="75"/>
      <c r="J21" s="75"/>
      <c r="K21" s="75"/>
      <c r="L21" s="75"/>
      <c r="M21" s="75"/>
      <c r="N21" s="75"/>
      <c r="O21" s="75"/>
      <c r="P21" s="75"/>
      <c r="Q21" s="75"/>
      <c r="R21" s="40"/>
      <c r="S21" s="76"/>
      <c r="T21" s="76"/>
      <c r="U21" s="76"/>
      <c r="V21" s="76"/>
    </row>
    <row r="22" spans="1:22" ht="30" customHeight="1" x14ac:dyDescent="0.25">
      <c r="A22" s="19">
        <v>1</v>
      </c>
      <c r="B22" s="8" t="s">
        <v>391</v>
      </c>
      <c r="C22" s="10" t="s">
        <v>392</v>
      </c>
      <c r="D22" s="9">
        <v>1</v>
      </c>
      <c r="E22" s="21">
        <v>477869932.75</v>
      </c>
      <c r="F22" s="9">
        <v>1</v>
      </c>
      <c r="G22" s="45">
        <f>ROUND(D22*E22*F22,2)</f>
        <v>477869932.75</v>
      </c>
      <c r="I22" s="38">
        <v>1085659573.8399999</v>
      </c>
      <c r="J22" s="38">
        <v>394751987</v>
      </c>
      <c r="K22" s="38">
        <v>490875000</v>
      </c>
      <c r="L22" s="38">
        <v>470000000</v>
      </c>
      <c r="M22" s="38">
        <v>633000000</v>
      </c>
      <c r="N22" s="38">
        <v>485000000</v>
      </c>
      <c r="O22" s="38">
        <v>291029642.24000001</v>
      </c>
      <c r="P22" s="38">
        <v>102000000</v>
      </c>
      <c r="Q22" s="38">
        <v>580432900</v>
      </c>
      <c r="R22" s="40"/>
      <c r="S22" s="35">
        <f t="shared" si="1"/>
        <v>102000000</v>
      </c>
      <c r="T22" s="35">
        <f t="shared" si="2"/>
        <v>1085659573.8399999</v>
      </c>
      <c r="U22" s="35">
        <f>+ROUND(AVERAGE(J22,K22,L22,M22,N22,O22,Q22),2)</f>
        <v>477869932.75</v>
      </c>
      <c r="V22" s="35">
        <f t="shared" si="3"/>
        <v>289934966.38</v>
      </c>
    </row>
    <row r="23" spans="1:22" ht="30" customHeight="1" x14ac:dyDescent="0.25">
      <c r="A23" s="19">
        <v>2</v>
      </c>
      <c r="B23" s="8" t="s">
        <v>393</v>
      </c>
      <c r="C23" s="10" t="s">
        <v>392</v>
      </c>
      <c r="D23" s="9">
        <v>1</v>
      </c>
      <c r="E23" s="21">
        <v>363801939.69</v>
      </c>
      <c r="F23" s="9">
        <v>1</v>
      </c>
      <c r="G23" s="45">
        <f t="shared" ref="G23:G29" si="5">ROUND(D23*E23*F23,2)</f>
        <v>363801939.69</v>
      </c>
      <c r="I23" s="38">
        <v>361886524.61000001</v>
      </c>
      <c r="J23" s="38">
        <v>348551111</v>
      </c>
      <c r="K23" s="38">
        <v>142800000</v>
      </c>
      <c r="L23" s="38">
        <v>470000000</v>
      </c>
      <c r="M23" s="38">
        <v>468000000</v>
      </c>
      <c r="N23" s="38">
        <v>735000000</v>
      </c>
      <c r="O23" s="38">
        <v>291029642.24000001</v>
      </c>
      <c r="P23" s="38">
        <v>48000000</v>
      </c>
      <c r="Q23" s="38">
        <v>464346300</v>
      </c>
      <c r="R23" s="40"/>
      <c r="S23" s="35">
        <f t="shared" si="1"/>
        <v>48000000</v>
      </c>
      <c r="T23" s="35">
        <f t="shared" si="2"/>
        <v>735000000</v>
      </c>
      <c r="U23" s="35">
        <f>+ROUND(AVERAGE(I23,J23,K23,L23,M23,O23,Q23),2)</f>
        <v>363801939.69</v>
      </c>
      <c r="V23" s="35">
        <f t="shared" si="3"/>
        <v>205900969.84999999</v>
      </c>
    </row>
    <row r="24" spans="1:22" ht="30" customHeight="1" x14ac:dyDescent="0.25">
      <c r="A24" s="19">
        <v>3</v>
      </c>
      <c r="B24" s="8" t="s">
        <v>394</v>
      </c>
      <c r="C24" s="10" t="s">
        <v>392</v>
      </c>
      <c r="D24" s="9">
        <v>1</v>
      </c>
      <c r="E24" s="21">
        <v>310729198</v>
      </c>
      <c r="F24" s="9">
        <v>1</v>
      </c>
      <c r="G24" s="45">
        <f t="shared" si="5"/>
        <v>310729198</v>
      </c>
      <c r="I24" s="38">
        <v>301572103.83999997</v>
      </c>
      <c r="J24" s="38">
        <v>507819000</v>
      </c>
      <c r="K24" s="38">
        <v>282625000</v>
      </c>
      <c r="L24" s="38">
        <v>930000000</v>
      </c>
      <c r="M24" s="38">
        <v>95000000</v>
      </c>
      <c r="N24" s="38">
        <v>415000000</v>
      </c>
      <c r="O24" s="38">
        <v>421918384.16000003</v>
      </c>
      <c r="P24" s="38">
        <v>42000000</v>
      </c>
      <c r="Q24" s="38">
        <v>348259700</v>
      </c>
      <c r="R24" s="40"/>
      <c r="S24" s="35">
        <f t="shared" si="1"/>
        <v>42000000</v>
      </c>
      <c r="T24" s="35">
        <f t="shared" si="2"/>
        <v>930000000</v>
      </c>
      <c r="U24" s="35">
        <f>+ROUND(AVERAGE(I24,K24,M24,N24,O24,Q24),2)</f>
        <v>310729198</v>
      </c>
      <c r="V24" s="35">
        <f t="shared" si="3"/>
        <v>176364599</v>
      </c>
    </row>
    <row r="25" spans="1:22" ht="30" customHeight="1" x14ac:dyDescent="0.25">
      <c r="A25" s="19">
        <v>4</v>
      </c>
      <c r="B25" s="8" t="s">
        <v>395</v>
      </c>
      <c r="C25" s="10" t="s">
        <v>392</v>
      </c>
      <c r="D25" s="9">
        <v>1</v>
      </c>
      <c r="E25" s="21">
        <v>248338394.53999999</v>
      </c>
      <c r="F25" s="9">
        <v>1</v>
      </c>
      <c r="G25" s="45">
        <f t="shared" si="5"/>
        <v>248338394.53999999</v>
      </c>
      <c r="I25" s="38">
        <v>241257683.06999999</v>
      </c>
      <c r="J25" s="38">
        <v>56458000</v>
      </c>
      <c r="K25" s="38">
        <v>113050000</v>
      </c>
      <c r="L25" s="38">
        <v>860000000</v>
      </c>
      <c r="M25" s="38">
        <v>193000000</v>
      </c>
      <c r="N25" s="38">
        <v>975000000</v>
      </c>
      <c r="O25" s="38">
        <v>421918384.16000003</v>
      </c>
      <c r="P25" s="38">
        <v>36000000</v>
      </c>
      <c r="Q25" s="38">
        <v>464346300</v>
      </c>
      <c r="R25" s="40"/>
      <c r="S25" s="35">
        <f t="shared" si="1"/>
        <v>36000000</v>
      </c>
      <c r="T25" s="35">
        <f t="shared" si="2"/>
        <v>975000000</v>
      </c>
      <c r="U25" s="35">
        <f>+ROUND(AVERAGE(I25,J25,K25,M25,O25,Q25),2)</f>
        <v>248338394.53999999</v>
      </c>
      <c r="V25" s="35">
        <f t="shared" si="3"/>
        <v>142169197.27000001</v>
      </c>
    </row>
    <row r="26" spans="1:22" ht="30" customHeight="1" x14ac:dyDescent="0.25">
      <c r="A26" s="19">
        <v>5</v>
      </c>
      <c r="B26" s="8" t="s">
        <v>396</v>
      </c>
      <c r="C26" s="10" t="s">
        <v>381</v>
      </c>
      <c r="D26" s="9">
        <v>1</v>
      </c>
      <c r="E26" s="21">
        <v>52857389.439999998</v>
      </c>
      <c r="F26" s="9">
        <v>36</v>
      </c>
      <c r="G26" s="45">
        <f t="shared" si="5"/>
        <v>1902866019.8399999</v>
      </c>
      <c r="I26" s="38">
        <v>48251536.609999999</v>
      </c>
      <c r="J26" s="38">
        <v>34000000</v>
      </c>
      <c r="K26" s="38">
        <v>339150000</v>
      </c>
      <c r="L26" s="38">
        <v>35600000</v>
      </c>
      <c r="M26" s="38">
        <v>57500000</v>
      </c>
      <c r="N26" s="38">
        <v>45600000</v>
      </c>
      <c r="O26" s="38">
        <v>96192800</v>
      </c>
      <c r="P26" s="38">
        <v>14400000</v>
      </c>
      <c r="Q26" s="38">
        <v>115797700</v>
      </c>
      <c r="R26" s="40"/>
      <c r="S26" s="35">
        <f t="shared" si="1"/>
        <v>14400000</v>
      </c>
      <c r="T26" s="35">
        <f t="shared" si="2"/>
        <v>339150000</v>
      </c>
      <c r="U26" s="35">
        <f>+ROUND(AVERAGE(I26,J26,L26,M26,N26,O26),2)</f>
        <v>52857389.439999998</v>
      </c>
      <c r="V26" s="35">
        <f t="shared" si="3"/>
        <v>33628694.719999999</v>
      </c>
    </row>
    <row r="27" spans="1:22" ht="30" customHeight="1" x14ac:dyDescent="0.25">
      <c r="A27" s="19">
        <v>6</v>
      </c>
      <c r="B27" s="8" t="s">
        <v>397</v>
      </c>
      <c r="C27" s="10" t="s">
        <v>381</v>
      </c>
      <c r="D27" s="9">
        <v>1</v>
      </c>
      <c r="E27" s="21">
        <v>15618766.9</v>
      </c>
      <c r="F27" s="9">
        <v>36</v>
      </c>
      <c r="G27" s="45">
        <f t="shared" si="5"/>
        <v>562275608.39999998</v>
      </c>
      <c r="I27" s="38">
        <v>24125768.309999999</v>
      </c>
      <c r="J27" s="38">
        <v>17300000</v>
      </c>
      <c r="K27" s="38">
        <v>109480000</v>
      </c>
      <c r="L27" s="38">
        <v>9500000</v>
      </c>
      <c r="M27" s="38">
        <v>11500000</v>
      </c>
      <c r="N27" s="38">
        <v>19000000</v>
      </c>
      <c r="O27" s="38">
        <v>18305600</v>
      </c>
      <c r="P27" s="38">
        <v>9600000</v>
      </c>
      <c r="Q27" s="38">
        <v>57898900</v>
      </c>
      <c r="R27" s="40"/>
      <c r="S27" s="35">
        <f t="shared" si="1"/>
        <v>9500000</v>
      </c>
      <c r="T27" s="35">
        <f t="shared" si="2"/>
        <v>109480000</v>
      </c>
      <c r="U27" s="35">
        <f>+ROUND(AVERAGE(I27,J27,L27,M27,N27,O27,P27),2)</f>
        <v>15618766.9</v>
      </c>
      <c r="V27" s="35">
        <f t="shared" si="3"/>
        <v>12559383.449999999</v>
      </c>
    </row>
    <row r="28" spans="1:22" ht="30" customHeight="1" x14ac:dyDescent="0.25">
      <c r="A28" s="19">
        <v>7</v>
      </c>
      <c r="B28" s="8" t="s">
        <v>398</v>
      </c>
      <c r="C28" s="10" t="s">
        <v>176</v>
      </c>
      <c r="D28" s="9">
        <v>1</v>
      </c>
      <c r="E28" s="21">
        <v>35834128.479999997</v>
      </c>
      <c r="F28" s="9">
        <v>36</v>
      </c>
      <c r="G28" s="45">
        <f t="shared" si="5"/>
        <v>1290028625.28</v>
      </c>
      <c r="I28" s="38">
        <v>42220094.539999999</v>
      </c>
      <c r="J28" s="38">
        <v>31633333.333333328</v>
      </c>
      <c r="K28" s="38">
        <v>54740000</v>
      </c>
      <c r="L28" s="38">
        <v>38500000</v>
      </c>
      <c r="M28" s="38">
        <v>57220000</v>
      </c>
      <c r="N28" s="38">
        <v>15200000</v>
      </c>
      <c r="O28" s="38">
        <v>95730400</v>
      </c>
      <c r="P28" s="38">
        <v>24000000</v>
      </c>
      <c r="Q28" s="38">
        <v>23159600</v>
      </c>
      <c r="R28" s="40"/>
      <c r="S28" s="35">
        <f t="shared" si="1"/>
        <v>15200000</v>
      </c>
      <c r="T28" s="35">
        <f t="shared" si="2"/>
        <v>95730400</v>
      </c>
      <c r="U28" s="35">
        <f>+ROUND(AVERAGE(I28,J28,K28,L28,M28,N28,P28,Q28),2)</f>
        <v>35834128.479999997</v>
      </c>
      <c r="V28" s="35">
        <f t="shared" si="3"/>
        <v>25517064.239999998</v>
      </c>
    </row>
    <row r="29" spans="1:22" ht="30" customHeight="1" x14ac:dyDescent="0.25">
      <c r="A29" s="19">
        <v>8</v>
      </c>
      <c r="B29" s="8" t="s">
        <v>399</v>
      </c>
      <c r="C29" s="10" t="s">
        <v>400</v>
      </c>
      <c r="D29" s="9">
        <v>3</v>
      </c>
      <c r="E29" s="21">
        <v>84065963.120000005</v>
      </c>
      <c r="F29" s="9">
        <v>1</v>
      </c>
      <c r="G29" s="45">
        <f t="shared" si="5"/>
        <v>252197889.36000001</v>
      </c>
      <c r="I29" s="38">
        <v>72377304.930000007</v>
      </c>
      <c r="J29" s="38">
        <v>500000000</v>
      </c>
      <c r="K29" s="38">
        <v>69020000</v>
      </c>
      <c r="L29" s="38">
        <v>75000000</v>
      </c>
      <c r="M29" s="38">
        <v>91350000</v>
      </c>
      <c r="N29" s="38">
        <v>19000000</v>
      </c>
      <c r="O29" s="38">
        <v>152823200</v>
      </c>
      <c r="P29" s="38">
        <v>54000000</v>
      </c>
      <c r="Q29" s="38">
        <v>138957200</v>
      </c>
      <c r="R29" s="40"/>
      <c r="S29" s="35">
        <f t="shared" si="1"/>
        <v>19000000</v>
      </c>
      <c r="T29" s="35">
        <f t="shared" si="2"/>
        <v>500000000</v>
      </c>
      <c r="U29" s="35">
        <f>+ROUND(AVERAGE(I29,K29,L29,M29,N29,O29,P29,Q29),2)</f>
        <v>84065963.120000005</v>
      </c>
      <c r="V29" s="35">
        <f t="shared" si="3"/>
        <v>51532981.560000002</v>
      </c>
    </row>
    <row r="30" spans="1:22" x14ac:dyDescent="0.25">
      <c r="A30" s="52" t="s">
        <v>401</v>
      </c>
      <c r="B30" s="52"/>
      <c r="C30" s="52"/>
      <c r="D30" s="52"/>
      <c r="E30" s="52"/>
      <c r="F30" s="52"/>
      <c r="G30" s="46">
        <f>SUM(G22:G29)</f>
        <v>5408107607.8599997</v>
      </c>
    </row>
    <row r="31" spans="1:22" x14ac:dyDescent="0.25">
      <c r="G31" s="47"/>
    </row>
    <row r="32" spans="1:22" ht="30" customHeight="1" x14ac:dyDescent="0.25">
      <c r="A32" s="53" t="s">
        <v>402</v>
      </c>
      <c r="B32" s="53"/>
      <c r="C32" s="53"/>
      <c r="D32" s="53"/>
      <c r="E32" s="53"/>
      <c r="F32" s="53"/>
      <c r="G32" s="48">
        <f>G12+G19+G30</f>
        <v>10989803142.25</v>
      </c>
    </row>
  </sheetData>
  <mergeCells count="8">
    <mergeCell ref="A21:G21"/>
    <mergeCell ref="A30:F30"/>
    <mergeCell ref="A32:F32"/>
    <mergeCell ref="A1:G1"/>
    <mergeCell ref="A4:G4"/>
    <mergeCell ref="A12:F12"/>
    <mergeCell ref="A14:G14"/>
    <mergeCell ref="A19:F19"/>
  </mergeCells>
  <printOptions horizontalCentered="1"/>
  <pageMargins left="0.75" right="0.75" top="1" bottom="1" header="0.511811023622047" footer="0.511811023622047"/>
  <pageSetup fitToHeight="0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0. Resumen Ejecutivo</vt:lpstr>
      <vt:lpstr>1. Parámetros</vt:lpstr>
      <vt:lpstr>D1. Conectividad</vt:lpstr>
      <vt:lpstr>D2. Seguridad</vt:lpstr>
      <vt:lpstr>D3. Videoconferencia</vt:lpstr>
      <vt:lpstr>D4. Cableado</vt:lpstr>
      <vt:lpstr>P6. Perfiles</vt:lpstr>
      <vt:lpstr>GG. Gastos Generales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Gustavo Adolfo Palacio Olarte</cp:lastModifiedBy>
  <cp:revision>0</cp:revision>
  <dcterms:created xsi:type="dcterms:W3CDTF">2026-05-29T23:11:23Z</dcterms:created>
  <dcterms:modified xsi:type="dcterms:W3CDTF">2026-08-20T20:49:00Z</dcterms:modified>
  <cp:category/>
  <cp:contentStatus/>
</cp:coreProperties>
</file>