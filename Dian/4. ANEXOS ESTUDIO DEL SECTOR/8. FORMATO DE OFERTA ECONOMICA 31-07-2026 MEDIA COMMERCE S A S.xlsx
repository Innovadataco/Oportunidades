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C207F0D6-87EF-48D8-9F64-D866F38852DE}" xr6:coauthVersionLast="47" xr6:coauthVersionMax="47" xr10:uidLastSave="{00000000-0000-0000-0000-000000000000}"/>
  <bookViews>
    <workbookView xWindow="31860" yWindow="3300" windowWidth="21600" windowHeight="11295" tabRatio="500"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9" i="8" l="1"/>
  <c r="G28" i="8"/>
  <c r="G27" i="8"/>
  <c r="G26" i="8"/>
  <c r="G25" i="8"/>
  <c r="G24" i="8"/>
  <c r="G23" i="8"/>
  <c r="G18" i="8"/>
  <c r="G17" i="8"/>
  <c r="G16" i="8"/>
  <c r="G15" i="8"/>
  <c r="G19" i="8" s="1"/>
  <c r="G11" i="8"/>
  <c r="G10" i="8"/>
  <c r="G9" i="8"/>
  <c r="G8" i="8"/>
  <c r="G7" i="8"/>
  <c r="G6" i="8"/>
  <c r="G5" i="8"/>
  <c r="I52" i="7"/>
  <c r="H52" i="7"/>
  <c r="J52" i="7" s="1"/>
  <c r="G52" i="7"/>
  <c r="I51" i="7"/>
  <c r="H51" i="7"/>
  <c r="J51" i="7" s="1"/>
  <c r="G51" i="7"/>
  <c r="I50" i="7"/>
  <c r="H50" i="7"/>
  <c r="J50" i="7" s="1"/>
  <c r="G50" i="7"/>
  <c r="I49" i="7"/>
  <c r="G49" i="7"/>
  <c r="H49" i="7" s="1"/>
  <c r="J49" i="7" s="1"/>
  <c r="I48" i="7"/>
  <c r="G48" i="7"/>
  <c r="H48" i="7" s="1"/>
  <c r="J48" i="7" s="1"/>
  <c r="I46" i="7"/>
  <c r="H46" i="7"/>
  <c r="G46" i="7"/>
  <c r="I45" i="7"/>
  <c r="H45" i="7"/>
  <c r="J45" i="7" s="1"/>
  <c r="G45" i="7"/>
  <c r="I44" i="7"/>
  <c r="H44" i="7"/>
  <c r="J44" i="7" s="1"/>
  <c r="G44" i="7"/>
  <c r="I43" i="7"/>
  <c r="G43" i="7"/>
  <c r="H43" i="7" s="1"/>
  <c r="J43" i="7" s="1"/>
  <c r="I42" i="7"/>
  <c r="G42" i="7"/>
  <c r="H42" i="7" s="1"/>
  <c r="J42" i="7" s="1"/>
  <c r="I40" i="7"/>
  <c r="G40" i="7"/>
  <c r="H40" i="7" s="1"/>
  <c r="J40" i="7" s="1"/>
  <c r="I39" i="7"/>
  <c r="H39" i="7"/>
  <c r="J39" i="7" s="1"/>
  <c r="G39" i="7"/>
  <c r="I38" i="7"/>
  <c r="H38" i="7"/>
  <c r="J38" i="7" s="1"/>
  <c r="G38" i="7"/>
  <c r="I36" i="7"/>
  <c r="H36" i="7"/>
  <c r="J36" i="7" s="1"/>
  <c r="G36" i="7"/>
  <c r="I35" i="7"/>
  <c r="H35" i="7"/>
  <c r="J35" i="7" s="1"/>
  <c r="G35" i="7"/>
  <c r="I34" i="7"/>
  <c r="G34" i="7"/>
  <c r="H34" i="7" s="1"/>
  <c r="J34" i="7" s="1"/>
  <c r="I33" i="7"/>
  <c r="H33" i="7"/>
  <c r="G33" i="7"/>
  <c r="I32" i="7"/>
  <c r="H32" i="7"/>
  <c r="J32" i="7" s="1"/>
  <c r="G32" i="7"/>
  <c r="I30" i="7"/>
  <c r="H30" i="7"/>
  <c r="J30" i="7" s="1"/>
  <c r="G30" i="7"/>
  <c r="I29" i="7"/>
  <c r="G29" i="7"/>
  <c r="H29" i="7" s="1"/>
  <c r="J29" i="7" s="1"/>
  <c r="I28" i="7"/>
  <c r="G28" i="7"/>
  <c r="H28" i="7" s="1"/>
  <c r="J28" i="7" s="1"/>
  <c r="I27" i="7"/>
  <c r="G27" i="7"/>
  <c r="H27" i="7" s="1"/>
  <c r="J27" i="7" s="1"/>
  <c r="I26" i="7"/>
  <c r="H26" i="7"/>
  <c r="J26" i="7" s="1"/>
  <c r="G26" i="7"/>
  <c r="I25" i="7"/>
  <c r="H25" i="7"/>
  <c r="J25" i="7" s="1"/>
  <c r="G25" i="7"/>
  <c r="I24" i="7"/>
  <c r="H24" i="7"/>
  <c r="J24" i="7" s="1"/>
  <c r="G24" i="7"/>
  <c r="I23" i="7"/>
  <c r="H23" i="7"/>
  <c r="J23" i="7" s="1"/>
  <c r="G23" i="7"/>
  <c r="I22" i="7"/>
  <c r="G22" i="7"/>
  <c r="H22" i="7" s="1"/>
  <c r="J22" i="7" s="1"/>
  <c r="I21" i="7"/>
  <c r="H21" i="7"/>
  <c r="G21" i="7"/>
  <c r="I20" i="7"/>
  <c r="H20" i="7"/>
  <c r="J20" i="7" s="1"/>
  <c r="G20" i="7"/>
  <c r="I19" i="7"/>
  <c r="H19" i="7"/>
  <c r="J19" i="7" s="1"/>
  <c r="G19" i="7"/>
  <c r="I18" i="7"/>
  <c r="G18" i="7"/>
  <c r="H18" i="7" s="1"/>
  <c r="J18" i="7" s="1"/>
  <c r="I16" i="7"/>
  <c r="G16" i="7"/>
  <c r="H16" i="7" s="1"/>
  <c r="J16" i="7" s="1"/>
  <c r="I15" i="7"/>
  <c r="G15" i="7"/>
  <c r="H15" i="7" s="1"/>
  <c r="J15" i="7" s="1"/>
  <c r="I14" i="7"/>
  <c r="H14" i="7"/>
  <c r="J14" i="7" s="1"/>
  <c r="G14" i="7"/>
  <c r="I13" i="7"/>
  <c r="H13" i="7"/>
  <c r="J13" i="7" s="1"/>
  <c r="G13" i="7"/>
  <c r="I12" i="7"/>
  <c r="H12" i="7"/>
  <c r="J12" i="7" s="1"/>
  <c r="G12" i="7"/>
  <c r="I11" i="7"/>
  <c r="H11" i="7"/>
  <c r="J11" i="7" s="1"/>
  <c r="G11" i="7"/>
  <c r="I9" i="7"/>
  <c r="G9" i="7"/>
  <c r="H9" i="7" s="1"/>
  <c r="J9" i="7" s="1"/>
  <c r="I8" i="7"/>
  <c r="H8" i="7"/>
  <c r="G8" i="7"/>
  <c r="I7" i="7"/>
  <c r="H7" i="7"/>
  <c r="J7" i="7" s="1"/>
  <c r="G7" i="7"/>
  <c r="I6" i="7"/>
  <c r="H6" i="7"/>
  <c r="J6" i="7" s="1"/>
  <c r="G6" i="7"/>
  <c r="G18" i="6"/>
  <c r="G17" i="6"/>
  <c r="G13" i="6"/>
  <c r="G12" i="6"/>
  <c r="G11" i="6"/>
  <c r="G10" i="6"/>
  <c r="G9" i="6"/>
  <c r="G8" i="6"/>
  <c r="G7" i="6"/>
  <c r="D7" i="6"/>
  <c r="D6" i="6"/>
  <c r="G6" i="6" s="1"/>
  <c r="G19" i="5"/>
  <c r="G18" i="5"/>
  <c r="D18" i="5"/>
  <c r="G17" i="5"/>
  <c r="D17" i="5"/>
  <c r="D16" i="5"/>
  <c r="G16" i="5" s="1"/>
  <c r="D15" i="5"/>
  <c r="G15" i="5" s="1"/>
  <c r="D14" i="5"/>
  <c r="G14" i="5" s="1"/>
  <c r="G10" i="5"/>
  <c r="F10" i="5"/>
  <c r="G9" i="5"/>
  <c r="F9" i="5"/>
  <c r="F8" i="5"/>
  <c r="G8" i="5" s="1"/>
  <c r="F7" i="5"/>
  <c r="G7" i="5" s="1"/>
  <c r="F6" i="5"/>
  <c r="D6" i="5"/>
  <c r="G6" i="5" s="1"/>
  <c r="G27" i="4"/>
  <c r="D27" i="4"/>
  <c r="G26" i="4"/>
  <c r="G25" i="4"/>
  <c r="F25" i="4"/>
  <c r="F24" i="4"/>
  <c r="D24" i="4"/>
  <c r="G24" i="4" s="1"/>
  <c r="G23" i="4"/>
  <c r="F23" i="4"/>
  <c r="F22" i="4"/>
  <c r="D22" i="4"/>
  <c r="G22" i="4" s="1"/>
  <c r="F21" i="4"/>
  <c r="G21" i="4" s="1"/>
  <c r="D21" i="4"/>
  <c r="G20" i="4"/>
  <c r="F20" i="4"/>
  <c r="F19" i="4"/>
  <c r="G19" i="4" s="1"/>
  <c r="D19" i="4"/>
  <c r="F18" i="4"/>
  <c r="G18" i="4" s="1"/>
  <c r="F17" i="4"/>
  <c r="G17" i="4" s="1"/>
  <c r="G16" i="4"/>
  <c r="F16" i="4"/>
  <c r="G15" i="4"/>
  <c r="F15" i="4"/>
  <c r="G11" i="4"/>
  <c r="F11" i="4"/>
  <c r="F10" i="4"/>
  <c r="D10" i="4"/>
  <c r="G10" i="4" s="1"/>
  <c r="F9" i="4"/>
  <c r="G9" i="4" s="1"/>
  <c r="F8" i="4"/>
  <c r="D8" i="4"/>
  <c r="G8" i="4" s="1"/>
  <c r="F7" i="4"/>
  <c r="G7" i="4" s="1"/>
  <c r="D7" i="4"/>
  <c r="F6" i="4"/>
  <c r="D6" i="4"/>
  <c r="G6" i="4" s="1"/>
  <c r="G20" i="3"/>
  <c r="G19" i="3"/>
  <c r="G18" i="3"/>
  <c r="G17" i="3"/>
  <c r="G16" i="3"/>
  <c r="G15" i="3"/>
  <c r="F11" i="3"/>
  <c r="D11" i="3"/>
  <c r="G11" i="3" s="1"/>
  <c r="G10" i="3"/>
  <c r="F10" i="3"/>
  <c r="D10" i="3"/>
  <c r="F9" i="3"/>
  <c r="D9" i="3"/>
  <c r="G9" i="3" s="1"/>
  <c r="F8" i="3"/>
  <c r="D8" i="3"/>
  <c r="G8" i="3" s="1"/>
  <c r="F7" i="3"/>
  <c r="D7" i="3"/>
  <c r="G7" i="3" s="1"/>
  <c r="F6" i="3"/>
  <c r="D6" i="3"/>
  <c r="G6" i="3" s="1"/>
  <c r="G12" i="3" l="1"/>
  <c r="G19" i="6"/>
  <c r="G12" i="8"/>
  <c r="J8" i="7"/>
  <c r="J46" i="7"/>
  <c r="J33" i="7"/>
  <c r="J21" i="7"/>
  <c r="J54" i="7" s="1"/>
  <c r="D9" i="1" s="1"/>
  <c r="G14" i="6"/>
  <c r="G11" i="5"/>
  <c r="G12" i="4"/>
  <c r="G21" i="3"/>
  <c r="G20" i="5"/>
  <c r="G28" i="4"/>
  <c r="G23" i="3" l="1"/>
  <c r="D5" i="1" s="1"/>
  <c r="G21" i="6"/>
  <c r="D8" i="1" s="1"/>
  <c r="G22" i="5"/>
  <c r="D7" i="1" s="1"/>
  <c r="G30" i="4"/>
  <c r="D6" i="1" s="1"/>
  <c r="G22" i="8"/>
  <c r="G30" i="8" s="1"/>
  <c r="G32" i="8" s="1"/>
  <c r="D10" i="1" s="1"/>
  <c r="D11" i="1" l="1"/>
  <c r="E6" i="1" l="1"/>
  <c r="E8" i="1"/>
  <c r="D13" i="1"/>
  <c r="E7" i="1"/>
  <c r="E9" i="1"/>
  <c r="E5" i="1"/>
  <c r="E10" i="1"/>
  <c r="D15" i="1" l="1"/>
  <c r="D14" i="1"/>
</calcChain>
</file>

<file path=xl/sharedStrings.xml><?xml version="1.0" encoding="utf-8"?>
<sst xmlns="http://schemas.openxmlformats.org/spreadsheetml/2006/main" count="548" uniqueCount="420">
  <si>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</si>
  <si>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</si>
  <si>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</si>
  <si>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</si>
  <si>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</si>
  <si>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</si>
  <si>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</si>
  <si>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</si>
  <si>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</si>
  <si>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</si>
  <si>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</si>
  <si>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</si>
  <si>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</si>
  <si>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</si>
  <si>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</si>
  <si>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</si>
  <si>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</si>
  <si>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</si>
  <si>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</si>
  <si>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</si>
  <si>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</si>
  <si>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</si>
  <si>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</si>
  <si>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</si>
  <si>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</si>
  <si>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</si>
  <si>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</si>
  <si>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</si>
  <si>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</si>
  <si>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</si>
  <si>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</si>
  <si>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</si>
  <si>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</si>
  <si>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</si>
  <si>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</si>
  <si>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</si>
  <si>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</si>
  <si>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</si>
  <si>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</si>
  <si>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</si>
  <si>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</si>
  <si>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</si>
  <si>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</si>
  <si>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</si>
  <si>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</si>
  <si>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</si>
  <si>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</si>
  <si>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Representante Legal:</t>
  </si>
  <si>
    <t>NIT / C.C.:</t>
  </si>
  <si>
    <t>Teléfono o Celular:</t>
  </si>
  <si>
    <t xml:space="preserve">E-mail: </t>
  </si>
  <si>
    <t>Fecha de Oferta:</t>
  </si>
  <si>
    <t>Validez de Oferta económica 90 días:</t>
  </si>
  <si>
    <t>SI ___  NO_____</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</si>
  <si>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</si>
  <si>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</si>
  <si>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</si>
  <si>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</si>
  <si>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</si>
  <si>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</si>
  <si>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</si>
  <si>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</si>
  <si>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</si>
  <si>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</si>
  <si>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</si>
  <si>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</si>
  <si>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</si>
  <si>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</si>
  <si>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</si>
  <si>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</si>
  <si>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</si>
  <si>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</si>
  <si>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</si>
  <si>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</si>
  <si>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</si>
  <si>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</si>
  <si>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</si>
  <si>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</si>
  <si>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</si>
  <si>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</si>
  <si>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</si>
  <si>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</si>
  <si>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</si>
  <si>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</si>
  <si>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</si>
  <si>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</si>
  <si>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</si>
  <si>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</si>
  <si>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</si>
  <si>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</si>
  <si>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</si>
  <si>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</si>
  <si>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</si>
  <si>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</si>
  <si>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</si>
  <si>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</si>
  <si>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</si>
  <si>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</si>
  <si>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</si>
  <si>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</si>
  <si>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</si>
  <si>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</si>
  <si>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</si>
  <si>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</si>
  <si>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</si>
  <si>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</si>
  <si>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</si>
  <si>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</si>
  <si>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</si>
  <si>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</si>
  <si>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</si>
  <si>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</si>
  <si>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</si>
  <si>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</si>
  <si>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</si>
  <si>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</si>
  <si>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</si>
  <si>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</si>
  <si>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</si>
  <si>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</si>
  <si>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</si>
  <si>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</si>
  <si>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</si>
  <si>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</si>
  <si>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</si>
  <si>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</si>
  <si>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</si>
  <si>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</si>
  <si>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</si>
  <si>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</si>
  <si>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</si>
  <si>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</si>
  <si>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</si>
  <si>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</si>
  <si>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</si>
  <si>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</si>
  <si>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</si>
  <si>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</si>
  <si>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</si>
  <si>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</si>
  <si>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</si>
  <si>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</si>
  <si>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</si>
  <si>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</si>
  <si>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</si>
  <si>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</si>
  <si>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</si>
  <si>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</si>
  <si>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</si>
  <si>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</si>
  <si>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</si>
  <si>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</si>
  <si>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</si>
  <si>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</si>
  <si>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</si>
  <si>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</si>
  <si>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</si>
  <si>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</si>
  <si>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</si>
  <si>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</si>
  <si>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</si>
  <si>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</si>
  <si>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</si>
  <si>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</si>
  <si>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</si>
  <si>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</si>
  <si>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</si>
  <si>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</si>
  <si>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</si>
  <si>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</si>
  <si>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</si>
  <si>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</si>
  <si>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</si>
  <si>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</si>
  <si>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</si>
  <si>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</si>
  <si>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</si>
  <si>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</si>
  <si>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</si>
  <si>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</si>
  <si>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</si>
  <si>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</si>
  <si>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</si>
  <si>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</si>
  <si>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</si>
  <si>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</si>
  <si>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</si>
  <si>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</si>
  <si>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</si>
  <si>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</si>
  <si>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</si>
  <si>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</si>
  <si>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</si>
  <si>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</si>
  <si>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</si>
  <si>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</si>
  <si>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</si>
  <si>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</si>
  <si>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</si>
  <si>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</si>
  <si>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</si>
  <si>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</si>
  <si>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</si>
  <si>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</si>
  <si>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</si>
  <si>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</si>
  <si>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</si>
  <si>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</si>
  <si>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</si>
  <si>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</si>
  <si>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</si>
  <si>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</si>
  <si>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</si>
  <si>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</si>
  <si>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600 servidores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</si>
  <si>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</si>
  <si>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</si>
  <si>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</si>
  <si>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</si>
  <si>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</si>
  <si>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</si>
  <si>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</si>
  <si>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</si>
  <si>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</si>
  <si>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</si>
  <si>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</si>
  <si>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</si>
  <si>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</si>
  <si>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</si>
  <si>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</si>
  <si>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</si>
  <si>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</si>
  <si>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</si>
  <si>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</si>
  <si>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</si>
  <si>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</si>
  <si>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</si>
  <si>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</si>
  <si>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</si>
  <si>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</si>
  <si>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</si>
  <si>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</si>
  <si>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</si>
  <si>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</si>
  <si>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</si>
  <si>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</si>
  <si>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</si>
  <si>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</si>
  <si>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</si>
  <si>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</si>
  <si>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</si>
  <si>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</si>
  <si>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</si>
  <si>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</si>
  <si>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</si>
  <si>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</si>
  <si>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</si>
  <si>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</si>
  <si>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</si>
  <si>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</si>
  <si>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</si>
  <si>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</si>
  <si>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</si>
  <si>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</si>
  <si>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</si>
  <si>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</si>
  <si>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</si>
  <si>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</si>
  <si>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</si>
  <si>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</si>
  <si>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</si>
  <si>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</si>
  <si>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</si>
  <si>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</si>
  <si>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</si>
  <si>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</si>
  <si>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</si>
  <si>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</si>
  <si>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</si>
  <si>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</si>
  <si>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</si>
  <si>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</si>
  <si>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</si>
  <si>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</si>
  <si>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</si>
  <si>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</si>
  <si>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</si>
  <si>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</si>
  <si>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</si>
  <si>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</si>
  <si>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</si>
  <si>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</si>
  <si>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</si>
  <si>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</si>
  <si>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</si>
  <si>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</si>
  <si>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</si>
  <si>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</si>
  <si>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</si>
  <si>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</si>
  <si>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</si>
  <si>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</si>
  <si>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</si>
  <si>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</si>
  <si>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</si>
  <si>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</si>
  <si>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</si>
  <si>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</si>
  <si>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</si>
  <si>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</si>
  <si>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</si>
  <si>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</si>
  <si>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</si>
  <si>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</si>
  <si>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</si>
  <si>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</si>
  <si>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</si>
  <si>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</si>
  <si>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</si>
  <si>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</si>
  <si>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</si>
  <si>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</si>
  <si>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</si>
  <si>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</si>
  <si>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</si>
  <si>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</si>
  <si>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</si>
  <si>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</si>
  <si>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</si>
  <si>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</si>
  <si>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</si>
  <si>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</si>
  <si>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</si>
  <si>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</si>
  <si>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</si>
  <si>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</si>
  <si>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</si>
  <si>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</si>
  <si>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</si>
  <si>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</si>
  <si>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</si>
  <si>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</si>
  <si>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</si>
  <si>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</si>
  <si>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</si>
  <si>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</si>
  <si>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</si>
  <si>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</si>
  <si>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</si>
  <si>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</si>
  <si>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</si>
  <si>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</si>
  <si>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</si>
  <si>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</si>
  <si>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</si>
  <si>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</si>
  <si>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</si>
  <si>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</si>
  <si>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</si>
  <si>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</si>
  <si>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</si>
  <si>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</si>
  <si>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</si>
  <si>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</si>
  <si>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</si>
  <si>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</si>
  <si>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</si>
  <si>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</si>
  <si>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</si>
  <si>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</si>
  <si>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</si>
  <si>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</si>
  <si>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</si>
  <si>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</si>
  <si>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</si>
  <si>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</si>
  <si>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</si>
  <si>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</si>
  <si>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</si>
  <si>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</si>
  <si>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</si>
  <si>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</si>
  <si>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</si>
  <si>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</si>
  <si>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</si>
  <si>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</si>
  <si>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</si>
  <si>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</si>
  <si>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</si>
  <si>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</si>
  <si>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</si>
  <si>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</si>
  <si>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</si>
  <si>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</si>
  <si>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</si>
  <si>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</si>
  <si>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</si>
  <si>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</si>
  <si>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</si>
  <si>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</si>
  <si>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</si>
  <si>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</si>
  <si>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</si>
  <si>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</si>
  <si>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</si>
  <si>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</si>
  <si>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</si>
  <si>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</si>
  <si>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</si>
  <si>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</si>
  <si>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Póliza de calidad del servicio</t>
  </si>
  <si>
    <t>Póliza de responsabilidad civil extracontractual</t>
  </si>
  <si>
    <t>Póliza de salarios y prestaciones sociales</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</si>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</sst>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0.0%"/>
  </numFmts>
  <fonts count="32" x14ac:knownFonts="1">
    <font>
      <sz val="11"/>
      <color theme="1"/>
      <name val="Calibri"/>
      <family val="2"/>
      <charset val="1"/>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font>
    <font>
      <b/>
      <sz val="10"/>
      <color rgb="FF000000"/>
      <name val="Arial"/>
      <family val="2"/>
    </font>
    <font>
      <i/>
      <sz val="10"/>
      <color rgb="FF000000"/>
      <name val="Arial"/>
      <family val="2"/>
    </font>
    <font>
      <b/>
      <sz val="10"/>
      <color rgb="FF006100"/>
      <name val="Arial"/>
      <family val="2"/>
    </font>
    <font>
      <sz val="10"/>
      <name val="Arial"/>
      <family val="2"/>
    </font>
    <font>
      <b/>
      <sz val="11"/>
      <name val="Arial"/>
      <family val="2"/>
    </font>
    <font>
      <b/>
      <sz val="11"/>
      <color rgb="FF000000"/>
      <name val="Arial"/>
      <family val="2"/>
    </font>
    <font>
      <b/>
      <sz val="14"/>
      <color rgb="FFFFFFFF"/>
      <name val="Arial"/>
      <family val="2"/>
    </font>
    <font>
      <b/>
      <i/>
      <sz val="10"/>
      <color rgb="FF1F3864"/>
      <name val="Arial"/>
      <family val="2"/>
    </font>
    <font>
      <b/>
      <sz val="11"/>
      <color rgb="FFFFFFFF"/>
      <name val="Arial"/>
      <family val="2"/>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b/>
      <sz val="14"/>
      <color rgb="FFFFFFFF"/>
      <name val="Arial"/>
      <family val="2"/>
      <charset val="1"/>
    </font>
    <font>
      <sz val="10"/>
      <color rgb="FF000000"/>
      <name val="Arial"/>
      <family val="2"/>
    </font>
    <font>
      <sz val="10"/>
      <color rgb="FF0000FF"/>
      <name val="Arial"/>
      <family val="2"/>
    </font>
    <font>
      <sz val="11"/>
      <color rgb="FF0000FF"/>
      <name val="Calibri"/>
      <family val="2"/>
    </font>
    <font>
      <i/>
      <sz val="9"/>
      <color rgb="FF595959"/>
      <name val="Arial"/>
      <family val="2"/>
    </font>
    <font>
      <b/>
      <sz val="10"/>
      <color rgb="FF0000FF"/>
      <name val="Arial"/>
      <family val="2"/>
    </font>
    <font>
      <i/>
      <sz val="10"/>
      <color rgb="FF000000"/>
      <name val="Arial"/>
      <family val="2"/>
      <charset val="1"/>
    </font>
    <font>
      <i/>
      <sz val="11"/>
      <color rgb="FF1F3864"/>
      <name val="Arial"/>
      <family val="2"/>
    </font>
    <font>
      <sz val="10"/>
      <color rgb="FF006100"/>
      <name val="Arial"/>
      <family val="2"/>
    </font>
    <font>
      <b/>
      <sz val="10"/>
      <name val="Arial"/>
      <family val="2"/>
    </font>
    <font>
      <b/>
      <sz val="12"/>
      <color rgb="FFFFFFFF"/>
      <name val="Arial"/>
      <family val="2"/>
    </font>
    <font>
      <b/>
      <sz val="13"/>
      <color rgb="FFFFFFFF"/>
      <name val="Arial"/>
      <family val="2"/>
    </font>
    <font>
      <sz val="10"/>
      <color rgb="FF0000FF"/>
      <name val="Arial"/>
      <family val="2"/>
      <charset val="1"/>
    </font>
    <font>
      <sz val="11"/>
      <color theme="1"/>
      <name val="Calibri"/>
      <family val="2"/>
      <charset val="1"/>
    </font>
  </fonts>
  <fills count="10">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2">
    <xf numFmtId="0" fontId="0" fillId="0" borderId="0"/>
    <xf numFmtId="9" fontId="31" fillId="0" borderId="0" applyFont="0" applyFill="0" applyBorder="0" applyAlignment="0" applyProtection="0"/>
  </cellStyleXfs>
  <cellXfs count="71">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164" fontId="10" fillId="4" borderId="1" xfId="0" applyNumberFormat="1" applyFont="1" applyFill="1" applyBorder="1" applyAlignment="1">
      <alignment horizontal="right" vertical="center"/>
    </xf>
    <xf numFmtId="0" fontId="9" fillId="4" borderId="1" xfId="0" applyFont="1" applyFill="1" applyBorder="1" applyAlignment="1">
      <alignment horizontal="center" vertical="center"/>
    </xf>
    <xf numFmtId="0" fontId="0" fillId="0" borderId="1" xfId="0" applyBorder="1"/>
    <xf numFmtId="164" fontId="11" fillId="5" borderId="1" xfId="0" applyNumberFormat="1" applyFont="1" applyFill="1" applyBorder="1" applyAlignment="1">
      <alignment horizontal="right" vertical="center"/>
    </xf>
    <xf numFmtId="0" fontId="0" fillId="5" borderId="1" xfId="0" applyFill="1" applyBorder="1"/>
    <xf numFmtId="164" fontId="12" fillId="0" borderId="1" xfId="0" applyNumberFormat="1" applyFont="1" applyBorder="1" applyAlignment="1">
      <alignment horizontal="right" vertical="center"/>
    </xf>
    <xf numFmtId="0" fontId="17"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5" fillId="0" borderId="1" xfId="0" applyFont="1" applyBorder="1"/>
    <xf numFmtId="0" fontId="7" fillId="0" borderId="1" xfId="0" applyFont="1" applyBorder="1"/>
    <xf numFmtId="0" fontId="5" fillId="4" borderId="1" xfId="0" applyFont="1" applyFill="1" applyBorder="1"/>
    <xf numFmtId="0" fontId="4" fillId="5" borderId="1" xfId="0" applyFont="1" applyFill="1" applyBorder="1"/>
    <xf numFmtId="3" fontId="19"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164" fontId="20" fillId="8" borderId="1" xfId="0" applyNumberFormat="1" applyFont="1" applyFill="1" applyBorder="1" applyAlignment="1">
      <alignment horizontal="right" vertical="center"/>
    </xf>
    <xf numFmtId="164" fontId="5" fillId="0" borderId="1" xfId="0" applyNumberFormat="1" applyFont="1" applyBorder="1" applyAlignment="1">
      <alignment horizontal="right" vertical="center"/>
    </xf>
    <xf numFmtId="0" fontId="0" fillId="4" borderId="1" xfId="0" applyFill="1" applyBorder="1"/>
    <xf numFmtId="164" fontId="29"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6"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9" fontId="0" fillId="0" borderId="0" xfId="0" applyNumberFormat="1"/>
    <xf numFmtId="164" fontId="30" fillId="8" borderId="1" xfId="0" applyNumberFormat="1" applyFont="1" applyFill="1" applyBorder="1" applyAlignment="1">
      <alignment horizontal="right" vertical="center"/>
    </xf>
    <xf numFmtId="164" fontId="0" fillId="0" borderId="0" xfId="0" applyNumberFormat="1"/>
    <xf numFmtId="9" fontId="0" fillId="0" borderId="0" xfId="1" applyFont="1"/>
    <xf numFmtId="3" fontId="16" fillId="6" borderId="1" xfId="0" applyNumberFormat="1" applyFont="1" applyFill="1" applyBorder="1" applyAlignment="1" applyProtection="1">
      <alignment horizontal="center" vertical="center" wrapText="1"/>
      <protection locked="0"/>
    </xf>
    <xf numFmtId="3" fontId="16" fillId="2" borderId="1" xfId="0" applyNumberFormat="1" applyFont="1" applyFill="1" applyBorder="1" applyAlignment="1" applyProtection="1">
      <alignment horizontal="center" vertical="center" wrapText="1"/>
      <protection locked="0"/>
    </xf>
    <xf numFmtId="0" fontId="16" fillId="7" borderId="1" xfId="0" applyFont="1" applyFill="1" applyBorder="1" applyAlignment="1">
      <alignment horizontal="center" vertical="center"/>
    </xf>
    <xf numFmtId="0" fontId="14" fillId="0" borderId="1" xfId="0" applyFont="1" applyBorder="1" applyAlignment="1">
      <alignment horizontal="justify" wrapText="1"/>
    </xf>
    <xf numFmtId="0" fontId="16" fillId="0" borderId="1" xfId="0" applyFont="1" applyBorder="1" applyAlignment="1" applyProtection="1">
      <alignment horizontal="center" wrapText="1"/>
      <protection locked="0"/>
    </xf>
    <xf numFmtId="0" fontId="17" fillId="0" borderId="1" xfId="0" applyFont="1" applyBorder="1" applyAlignment="1" applyProtection="1">
      <alignment horizontal="center" wrapText="1"/>
      <protection locked="0"/>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pplyProtection="1">
      <alignment horizontal="center" vertical="center" wrapText="1"/>
      <protection locked="0"/>
    </xf>
    <xf numFmtId="0" fontId="12" fillId="0" borderId="1" xfId="0" applyFont="1" applyBorder="1" applyAlignment="1">
      <alignment horizontal="right" vertical="center" indent="1"/>
    </xf>
    <xf numFmtId="0" fontId="13" fillId="3" borderId="1"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4" borderId="1" xfId="0" applyFont="1" applyFill="1" applyBorder="1" applyAlignment="1">
      <alignment horizontal="right" vertical="center" indent="1"/>
    </xf>
    <xf numFmtId="0" fontId="11" fillId="5"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24" fillId="0" borderId="1" xfId="0" applyFont="1" applyBorder="1" applyAlignment="1">
      <alignment horizontal="left" vertical="center" wrapText="1"/>
    </xf>
    <xf numFmtId="0" fontId="22" fillId="0" borderId="1" xfId="0" applyFont="1" applyBorder="1" applyAlignment="1">
      <alignment horizontal="left" vertical="center" wrapText="1"/>
    </xf>
    <xf numFmtId="0" fontId="0" fillId="0" borderId="1" xfId="0" applyBorder="1" applyAlignment="1">
      <alignment horizontal="center"/>
    </xf>
    <xf numFmtId="0" fontId="18" fillId="5" borderId="2" xfId="0" applyFont="1" applyFill="1" applyBorder="1" applyAlignment="1">
      <alignment horizontal="center" vertical="center" wrapText="1"/>
    </xf>
    <xf numFmtId="0" fontId="22" fillId="2" borderId="1" xfId="0" applyFont="1" applyFill="1" applyBorder="1" applyAlignment="1">
      <alignment horizontal="left" vertical="center" wrapText="1"/>
    </xf>
    <xf numFmtId="0" fontId="27" fillId="4" borderId="2" xfId="0" applyFont="1" applyFill="1" applyBorder="1" applyAlignment="1">
      <alignment horizontal="right" vertical="center" indent="1"/>
    </xf>
    <xf numFmtId="0" fontId="28" fillId="5" borderId="5" xfId="0" applyFont="1" applyFill="1" applyBorder="1" applyAlignment="1">
      <alignment horizontal="right" vertical="center" indent="1"/>
    </xf>
    <xf numFmtId="0" fontId="11" fillId="5" borderId="2" xfId="0" applyFont="1" applyFill="1" applyBorder="1" applyAlignment="1">
      <alignment horizontal="center" vertical="center" wrapText="1"/>
    </xf>
    <xf numFmtId="0" fontId="25" fillId="0" borderId="0" xfId="0" applyFont="1" applyAlignment="1">
      <alignment horizontal="center" vertical="center" wrapText="1"/>
    </xf>
    <xf numFmtId="0" fontId="13" fillId="3" borderId="2" xfId="0" applyFont="1" applyFill="1" applyBorder="1" applyAlignment="1">
      <alignment horizontal="left" vertical="center" wrapText="1" indent="1"/>
    </xf>
    <xf numFmtId="0" fontId="12" fillId="9" borderId="2" xfId="0" applyFont="1" applyFill="1" applyBorder="1" applyAlignment="1">
      <alignment horizontal="left" vertical="center" wrapText="1" indent="1"/>
    </xf>
  </cellXfs>
  <cellStyles count="2">
    <cellStyle name="Normal" xfId="0" builtinId="0"/>
    <cellStyle name="Porcentaje"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480980</xdr:colOff>
      <xdr:row>0</xdr:row>
      <xdr:rowOff>1128030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4240" cy="10746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3"/>
  <sheetViews>
    <sheetView showGridLines="0" tabSelected="1" zoomScale="110" zoomScaleNormal="110" workbookViewId="0">
      <selection activeCell="H9" sqref="H9"/>
    </sheetView>
  </sheetViews>
  <sheetFormatPr baseColWidth="10" defaultColWidth="8.42578125" defaultRowHeight="15" x14ac:dyDescent="0.25"/>
  <cols>
    <col min="1" max="1" width="8" customWidth="1"/>
    <col min="2" max="2" width="60" customWidth="1"/>
    <col min="3" max="3" width="30" customWidth="1"/>
    <col min="4" max="4" width="26" customWidth="1"/>
    <col min="5" max="5" width="14" customWidth="1"/>
    <col min="7" max="7" width="20" customWidth="1"/>
  </cols>
  <sheetData>
    <row r="1" spans="1:7" ht="90.75" customHeight="1" x14ac:dyDescent="0.25">
      <c r="A1" s="54" t="s">
        <v>0</v>
      </c>
      <c r="B1" s="54"/>
      <c r="C1" s="54"/>
      <c r="D1" s="54"/>
      <c r="E1" s="54"/>
    </row>
    <row r="2" spans="1:7" ht="16.5" customHeight="1" x14ac:dyDescent="0.25">
      <c r="A2" s="55" t="s">
        <v>1</v>
      </c>
      <c r="B2" s="55"/>
      <c r="C2" s="55"/>
      <c r="D2" s="55"/>
      <c r="E2" s="55"/>
    </row>
    <row r="3" spans="1:7" ht="15" customHeight="1" x14ac:dyDescent="0.25">
      <c r="A3" s="56" t="s">
        <v>2</v>
      </c>
      <c r="B3" s="56"/>
      <c r="C3" s="56"/>
      <c r="D3" s="56"/>
      <c r="E3" s="56"/>
    </row>
    <row r="4" spans="1:7" ht="30" customHeight="1" x14ac:dyDescent="0.25">
      <c r="A4" s="1" t="s">
        <v>3</v>
      </c>
      <c r="B4" s="1" t="s">
        <v>4</v>
      </c>
      <c r="C4" s="1" t="s">
        <v>5</v>
      </c>
      <c r="D4" s="1" t="s">
        <v>6</v>
      </c>
      <c r="E4" s="1" t="s">
        <v>7</v>
      </c>
    </row>
    <row r="5" spans="1:7" ht="25.5" customHeight="1" x14ac:dyDescent="0.25">
      <c r="A5" s="2" t="s">
        <v>8</v>
      </c>
      <c r="B5" s="3" t="s">
        <v>9</v>
      </c>
      <c r="C5" s="4" t="s">
        <v>10</v>
      </c>
      <c r="D5" s="5">
        <f>'D1. Conectividad'!G23</f>
        <v>301428614602.78198</v>
      </c>
      <c r="E5" s="6">
        <f t="shared" ref="E5:E10" si="0">D5/$D$11</f>
        <v>0.6121650950368277</v>
      </c>
    </row>
    <row r="6" spans="1:7" ht="25.5" customHeight="1" x14ac:dyDescent="0.25">
      <c r="A6" s="2" t="s">
        <v>11</v>
      </c>
      <c r="B6" s="3" t="s">
        <v>12</v>
      </c>
      <c r="C6" s="4" t="s">
        <v>13</v>
      </c>
      <c r="D6" s="5">
        <f>'D2. Seguridad'!G30</f>
        <v>86261520000</v>
      </c>
      <c r="E6" s="6">
        <f t="shared" si="0"/>
        <v>0.17518672425445916</v>
      </c>
    </row>
    <row r="7" spans="1:7" ht="25.5" customHeight="1" x14ac:dyDescent="0.25">
      <c r="A7" s="2" t="s">
        <v>14</v>
      </c>
      <c r="B7" s="3" t="s">
        <v>15</v>
      </c>
      <c r="C7" s="4" t="s">
        <v>16</v>
      </c>
      <c r="D7" s="5">
        <f>'D3. Videoconferencia'!G22</f>
        <v>30340948000</v>
      </c>
      <c r="E7" s="6">
        <f t="shared" si="0"/>
        <v>6.1618799331322749E-2</v>
      </c>
    </row>
    <row r="8" spans="1:7" ht="25.5" customHeight="1" x14ac:dyDescent="0.25">
      <c r="A8" s="2" t="s">
        <v>17</v>
      </c>
      <c r="B8" s="3" t="s">
        <v>18</v>
      </c>
      <c r="C8" s="4" t="s">
        <v>19</v>
      </c>
      <c r="D8" s="5">
        <f>'D4. Cableado'!G21</f>
        <v>11306900000</v>
      </c>
      <c r="E8" s="6">
        <f t="shared" si="0"/>
        <v>2.2962947702205389E-2</v>
      </c>
    </row>
    <row r="9" spans="1:7" ht="25.5" customHeight="1" x14ac:dyDescent="0.25">
      <c r="A9" s="2" t="s">
        <v>20</v>
      </c>
      <c r="B9" s="3" t="s">
        <v>21</v>
      </c>
      <c r="C9" s="4" t="s">
        <v>22</v>
      </c>
      <c r="D9" s="5">
        <f>'P6. Perfiles'!J54</f>
        <v>53523722700</v>
      </c>
      <c r="E9" s="6">
        <f t="shared" si="0"/>
        <v>0.10870021360297194</v>
      </c>
    </row>
    <row r="10" spans="1:7" ht="25.5" customHeight="1" x14ac:dyDescent="0.25">
      <c r="A10" s="2" t="s">
        <v>23</v>
      </c>
      <c r="B10" s="3" t="s">
        <v>24</v>
      </c>
      <c r="C10" s="4" t="s">
        <v>25</v>
      </c>
      <c r="D10" s="5">
        <f>'GG. Gastos Generales'!G32</f>
        <v>9535880000</v>
      </c>
      <c r="E10" s="6">
        <f t="shared" si="0"/>
        <v>1.9366220072213104E-2</v>
      </c>
      <c r="G10" s="41"/>
    </row>
    <row r="11" spans="1:7" x14ac:dyDescent="0.25">
      <c r="A11" s="57" t="s">
        <v>26</v>
      </c>
      <c r="B11" s="57"/>
      <c r="C11" s="57"/>
      <c r="D11" s="7">
        <f>SUM(D5:D10)</f>
        <v>492397585302.78198</v>
      </c>
      <c r="E11" s="8" t="s">
        <v>27</v>
      </c>
      <c r="G11" s="41"/>
    </row>
    <row r="12" spans="1:7" x14ac:dyDescent="0.25">
      <c r="A12" s="9"/>
      <c r="B12" s="9"/>
      <c r="C12" s="9"/>
      <c r="D12" s="9"/>
      <c r="E12" s="9"/>
    </row>
    <row r="13" spans="1:7" ht="59.25" customHeight="1" x14ac:dyDescent="0.25">
      <c r="A13" s="58" t="s">
        <v>28</v>
      </c>
      <c r="B13" s="58"/>
      <c r="C13" s="58"/>
      <c r="D13" s="10">
        <f>+D11</f>
        <v>492397585302.78198</v>
      </c>
      <c r="E13" s="11"/>
    </row>
    <row r="14" spans="1:7" x14ac:dyDescent="0.25">
      <c r="A14" s="52" t="s">
        <v>29</v>
      </c>
      <c r="B14" s="52"/>
      <c r="C14" s="52"/>
      <c r="D14" s="12">
        <f>D13/'1. Parámetros'!$B$4</f>
        <v>13677710702.855055</v>
      </c>
      <c r="E14" s="9"/>
    </row>
    <row r="15" spans="1:7" x14ac:dyDescent="0.25">
      <c r="A15" s="52" t="s">
        <v>30</v>
      </c>
      <c r="B15" s="52"/>
      <c r="C15" s="52"/>
      <c r="D15" s="12">
        <f>D13/'1. Parámetros'!$B$5</f>
        <v>562097700.11733103</v>
      </c>
      <c r="E15" s="9"/>
    </row>
    <row r="17" spans="1:5" ht="15" customHeight="1" x14ac:dyDescent="0.25">
      <c r="A17" s="53" t="s">
        <v>31</v>
      </c>
      <c r="B17" s="53"/>
      <c r="C17" s="53"/>
      <c r="D17" s="53"/>
      <c r="E17" s="53"/>
    </row>
    <row r="18" spans="1:5" ht="30" customHeight="1" x14ac:dyDescent="0.25">
      <c r="A18" s="49" t="s">
        <v>32</v>
      </c>
      <c r="B18" s="49"/>
      <c r="C18" s="49"/>
      <c r="D18" s="49"/>
      <c r="E18" s="49"/>
    </row>
    <row r="19" spans="1:5" ht="30" customHeight="1" x14ac:dyDescent="0.25">
      <c r="A19" s="49" t="s">
        <v>33</v>
      </c>
      <c r="B19" s="49"/>
      <c r="C19" s="49"/>
      <c r="D19" s="49"/>
      <c r="E19" s="49"/>
    </row>
    <row r="20" spans="1:5" ht="30" customHeight="1" x14ac:dyDescent="0.25">
      <c r="A20" s="49" t="s">
        <v>34</v>
      </c>
      <c r="B20" s="49"/>
      <c r="C20" s="49"/>
      <c r="D20" s="49"/>
      <c r="E20" s="49"/>
    </row>
    <row r="21" spans="1:5" ht="30" customHeight="1" x14ac:dyDescent="0.25">
      <c r="A21" s="49" t="s">
        <v>35</v>
      </c>
      <c r="B21" s="49"/>
      <c r="C21" s="49"/>
      <c r="D21" s="49"/>
      <c r="E21" s="49"/>
    </row>
    <row r="22" spans="1:5" ht="16.5" customHeight="1" x14ac:dyDescent="0.25">
      <c r="A22" s="49" t="s">
        <v>36</v>
      </c>
      <c r="B22" s="49"/>
      <c r="C22" s="49"/>
      <c r="D22" s="49"/>
      <c r="E22" s="49"/>
    </row>
    <row r="23" spans="1:5" ht="16.5" customHeight="1" x14ac:dyDescent="0.25">
      <c r="A23" s="49" t="s">
        <v>37</v>
      </c>
      <c r="B23" s="49"/>
      <c r="C23" s="49"/>
      <c r="D23" s="49"/>
      <c r="E23" s="49"/>
    </row>
    <row r="24" spans="1:5" ht="16.5" customHeight="1" x14ac:dyDescent="0.25">
      <c r="A24" s="49" t="s">
        <v>38</v>
      </c>
      <c r="B24" s="49"/>
      <c r="C24" s="49"/>
      <c r="D24" s="49"/>
      <c r="E24" s="49"/>
    </row>
    <row r="25" spans="1:5" ht="16.5" customHeight="1" x14ac:dyDescent="0.25">
      <c r="A25" s="49" t="s">
        <v>39</v>
      </c>
      <c r="B25" s="49"/>
      <c r="C25" s="49"/>
      <c r="D25" s="49"/>
      <c r="E25" s="49"/>
    </row>
    <row r="26" spans="1:5" ht="104.25" customHeight="1" x14ac:dyDescent="0.25">
      <c r="A26" s="50" t="s">
        <v>40</v>
      </c>
      <c r="B26" s="50"/>
      <c r="C26" s="50"/>
      <c r="D26" s="50"/>
      <c r="E26" s="50"/>
    </row>
    <row r="27" spans="1:5" ht="17.25" customHeight="1" x14ac:dyDescent="0.25">
      <c r="A27" s="51" t="s">
        <v>41</v>
      </c>
      <c r="B27" s="51"/>
      <c r="C27" s="51"/>
      <c r="D27" s="51"/>
      <c r="E27" s="51"/>
    </row>
    <row r="28" spans="1:5" ht="16.5" customHeight="1" x14ac:dyDescent="0.3">
      <c r="A28" s="47" t="s">
        <v>42</v>
      </c>
      <c r="B28" s="47"/>
      <c r="C28" s="13"/>
      <c r="D28" s="48"/>
      <c r="E28" s="48"/>
    </row>
    <row r="29" spans="1:5" ht="81" customHeight="1" x14ac:dyDescent="0.25">
      <c r="A29" s="46" t="s">
        <v>43</v>
      </c>
      <c r="B29" s="46"/>
      <c r="C29" s="46"/>
      <c r="D29" s="46"/>
      <c r="E29" s="46"/>
    </row>
    <row r="30" spans="1:5" ht="16.5" customHeight="1" x14ac:dyDescent="0.3">
      <c r="A30" s="47" t="s">
        <v>44</v>
      </c>
      <c r="B30" s="47"/>
      <c r="C30" s="13"/>
      <c r="D30" s="48"/>
      <c r="E30" s="48"/>
    </row>
    <row r="31" spans="1:5" ht="80.25" customHeight="1" x14ac:dyDescent="0.25">
      <c r="A31" s="46" t="s">
        <v>45</v>
      </c>
      <c r="B31" s="46"/>
      <c r="C31" s="46"/>
      <c r="D31" s="46"/>
      <c r="E31" s="46"/>
    </row>
    <row r="32" spans="1:5" ht="16.5" customHeight="1" x14ac:dyDescent="0.25">
      <c r="A32" s="43" t="s">
        <v>46</v>
      </c>
      <c r="B32" s="43"/>
      <c r="C32" s="44"/>
      <c r="D32" s="44"/>
      <c r="E32" s="44"/>
    </row>
    <row r="33" spans="1:5" ht="16.5" customHeight="1" x14ac:dyDescent="0.25">
      <c r="A33" s="43" t="s">
        <v>47</v>
      </c>
      <c r="B33" s="43"/>
      <c r="C33" s="44"/>
      <c r="D33" s="44"/>
      <c r="E33" s="44"/>
    </row>
    <row r="34" spans="1:5" ht="16.5" customHeight="1" x14ac:dyDescent="0.25">
      <c r="A34" s="43" t="s">
        <v>48</v>
      </c>
      <c r="B34" s="43"/>
      <c r="C34" s="44"/>
      <c r="D34" s="44"/>
      <c r="E34" s="44"/>
    </row>
    <row r="35" spans="1:5" ht="16.5" customHeight="1" x14ac:dyDescent="0.25">
      <c r="A35" s="43" t="s">
        <v>49</v>
      </c>
      <c r="B35" s="43"/>
      <c r="C35" s="44"/>
      <c r="D35" s="44"/>
      <c r="E35" s="44"/>
    </row>
    <row r="36" spans="1:5" ht="16.5" customHeight="1" x14ac:dyDescent="0.25">
      <c r="A36" s="43" t="s">
        <v>50</v>
      </c>
      <c r="B36" s="43"/>
      <c r="C36" s="44"/>
      <c r="D36" s="44"/>
      <c r="E36" s="44"/>
    </row>
    <row r="37" spans="1:5" ht="16.5" customHeight="1" x14ac:dyDescent="0.25">
      <c r="A37" s="43" t="s">
        <v>51</v>
      </c>
      <c r="B37" s="43"/>
      <c r="C37" s="44"/>
      <c r="D37" s="44"/>
      <c r="E37" s="44"/>
    </row>
    <row r="38" spans="1:5" ht="16.5" customHeight="1" x14ac:dyDescent="0.25">
      <c r="A38" s="43" t="s">
        <v>52</v>
      </c>
      <c r="B38" s="43"/>
      <c r="C38" s="44" t="s">
        <v>53</v>
      </c>
      <c r="D38" s="44"/>
      <c r="E38" s="44"/>
    </row>
    <row r="39" spans="1:5" ht="16.5" customHeight="1" x14ac:dyDescent="0.25">
      <c r="A39" s="43" t="s">
        <v>54</v>
      </c>
      <c r="B39" s="43"/>
      <c r="C39" s="44" t="s">
        <v>53</v>
      </c>
      <c r="D39" s="44"/>
      <c r="E39" s="44"/>
    </row>
    <row r="40" spans="1:5" x14ac:dyDescent="0.25">
      <c r="A40" s="45" t="s">
        <v>55</v>
      </c>
      <c r="B40" s="45"/>
      <c r="C40" s="44"/>
      <c r="D40" s="44"/>
      <c r="E40" s="44"/>
    </row>
    <row r="41" spans="1:5" x14ac:dyDescent="0.25">
      <c r="A41" s="45"/>
      <c r="B41" s="45"/>
      <c r="C41" s="44"/>
      <c r="D41" s="44"/>
      <c r="E41" s="44"/>
    </row>
    <row r="42" spans="1:5" x14ac:dyDescent="0.25">
      <c r="A42" s="45"/>
      <c r="B42" s="45"/>
      <c r="C42" s="44"/>
      <c r="D42" s="44"/>
      <c r="E42" s="44"/>
    </row>
    <row r="43" spans="1:5" x14ac:dyDescent="0.25">
      <c r="A43" s="45"/>
      <c r="B43" s="45"/>
      <c r="C43" s="44"/>
      <c r="D43" s="44"/>
      <c r="E43" s="44"/>
    </row>
  </sheetData>
  <mergeCells count="42">
    <mergeCell ref="A1:E1"/>
    <mergeCell ref="A2:E2"/>
    <mergeCell ref="A3:E3"/>
    <mergeCell ref="A11:C11"/>
    <mergeCell ref="A13:C13"/>
    <mergeCell ref="A14:C14"/>
    <mergeCell ref="A15:C15"/>
    <mergeCell ref="A17:E17"/>
    <mergeCell ref="A18:E18"/>
    <mergeCell ref="A19:E19"/>
    <mergeCell ref="A20:E20"/>
    <mergeCell ref="A21:E21"/>
    <mergeCell ref="A22:E22"/>
    <mergeCell ref="A23:E23"/>
    <mergeCell ref="A24:E24"/>
    <mergeCell ref="A25:E25"/>
    <mergeCell ref="A26:E26"/>
    <mergeCell ref="A27:E27"/>
    <mergeCell ref="A28:B28"/>
    <mergeCell ref="D28:E28"/>
    <mergeCell ref="A29:E29"/>
    <mergeCell ref="A30:B30"/>
    <mergeCell ref="D30:E30"/>
    <mergeCell ref="A31:E31"/>
    <mergeCell ref="A32:B32"/>
    <mergeCell ref="C32:E32"/>
    <mergeCell ref="A33:B33"/>
    <mergeCell ref="C33:E33"/>
    <mergeCell ref="A34:B34"/>
    <mergeCell ref="C34:E34"/>
    <mergeCell ref="A35:B35"/>
    <mergeCell ref="C35:E35"/>
    <mergeCell ref="A39:B39"/>
    <mergeCell ref="C39:E39"/>
    <mergeCell ref="A40:B43"/>
    <mergeCell ref="C40:E43"/>
    <mergeCell ref="A36:B36"/>
    <mergeCell ref="C36:E36"/>
    <mergeCell ref="A37:B37"/>
    <mergeCell ref="C37:E37"/>
    <mergeCell ref="A38:B38"/>
    <mergeCell ref="C38:E38"/>
  </mergeCells>
  <printOptions horizontalCentered="1"/>
  <pageMargins left="0.75" right="0.75" top="1" bottom="1"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zoomScaleNormal="100" workbookViewId="0">
      <selection activeCell="H1" sqref="H1"/>
    </sheetView>
  </sheetViews>
  <sheetFormatPr baseColWidth="10" defaultColWidth="8.42578125" defaultRowHeight="15" x14ac:dyDescent="0.25"/>
  <cols>
    <col min="1" max="1" width="48" customWidth="1"/>
    <col min="2" max="2" width="16" customWidth="1"/>
    <col min="3" max="3" width="14" customWidth="1"/>
    <col min="4" max="4" width="58" customWidth="1"/>
  </cols>
  <sheetData>
    <row r="1" spans="1:4" ht="31.5" customHeight="1" x14ac:dyDescent="0.25">
      <c r="A1" s="63" t="s">
        <v>56</v>
      </c>
      <c r="B1" s="63"/>
      <c r="C1" s="63"/>
      <c r="D1" s="63"/>
    </row>
    <row r="3" spans="1:4" ht="21.75" customHeight="1" x14ac:dyDescent="0.25">
      <c r="A3" s="1" t="s">
        <v>57</v>
      </c>
      <c r="B3" s="1" t="s">
        <v>58</v>
      </c>
      <c r="C3" s="1" t="s">
        <v>59</v>
      </c>
      <c r="D3" s="1" t="s">
        <v>60</v>
      </c>
    </row>
    <row r="4" spans="1:4" x14ac:dyDescent="0.25">
      <c r="A4" s="14" t="s">
        <v>61</v>
      </c>
      <c r="B4" s="15">
        <v>36</v>
      </c>
      <c r="C4" s="16" t="s">
        <v>62</v>
      </c>
      <c r="D4" s="4" t="s">
        <v>63</v>
      </c>
    </row>
    <row r="5" spans="1:4" ht="25.5" x14ac:dyDescent="0.25">
      <c r="A5" s="14" t="s">
        <v>64</v>
      </c>
      <c r="B5" s="15">
        <v>876</v>
      </c>
      <c r="C5" s="16" t="s">
        <v>65</v>
      </c>
      <c r="D5" s="4" t="s">
        <v>66</v>
      </c>
    </row>
    <row r="6" spans="1:4" x14ac:dyDescent="0.25">
      <c r="A6" s="14" t="s">
        <v>67</v>
      </c>
      <c r="B6" s="15">
        <v>2</v>
      </c>
      <c r="C6" s="16" t="s">
        <v>68</v>
      </c>
      <c r="D6" s="4" t="s">
        <v>69</v>
      </c>
    </row>
    <row r="7" spans="1:4" x14ac:dyDescent="0.25">
      <c r="A7" s="14" t="s">
        <v>70</v>
      </c>
      <c r="B7" s="15">
        <v>765</v>
      </c>
      <c r="C7" s="16" t="s">
        <v>65</v>
      </c>
      <c r="D7" s="4" t="s">
        <v>71</v>
      </c>
    </row>
    <row r="8" spans="1:4" x14ac:dyDescent="0.25">
      <c r="A8" s="14" t="s">
        <v>72</v>
      </c>
      <c r="B8" s="15">
        <v>86</v>
      </c>
      <c r="C8" s="16" t="s">
        <v>65</v>
      </c>
      <c r="D8" s="4" t="s">
        <v>73</v>
      </c>
    </row>
    <row r="9" spans="1:4" x14ac:dyDescent="0.25">
      <c r="A9" s="14" t="s">
        <v>74</v>
      </c>
      <c r="B9" s="15">
        <v>25</v>
      </c>
      <c r="C9" s="16" t="s">
        <v>65</v>
      </c>
      <c r="D9" s="4" t="s">
        <v>75</v>
      </c>
    </row>
    <row r="10" spans="1:4" x14ac:dyDescent="0.25">
      <c r="A10" s="14" t="s">
        <v>76</v>
      </c>
      <c r="B10" s="15">
        <v>4</v>
      </c>
      <c r="C10" s="16" t="s">
        <v>77</v>
      </c>
      <c r="D10" s="4" t="s">
        <v>78</v>
      </c>
    </row>
    <row r="11" spans="1:4" ht="25.5" x14ac:dyDescent="0.25">
      <c r="A11" s="14" t="s">
        <v>79</v>
      </c>
      <c r="B11" s="15">
        <v>4</v>
      </c>
      <c r="C11" s="16" t="s">
        <v>77</v>
      </c>
      <c r="D11" s="4" t="s">
        <v>80</v>
      </c>
    </row>
    <row r="12" spans="1:4" x14ac:dyDescent="0.25">
      <c r="A12" s="14" t="s">
        <v>81</v>
      </c>
      <c r="B12" s="15">
        <v>30000</v>
      </c>
      <c r="C12" s="16" t="s">
        <v>82</v>
      </c>
      <c r="D12" s="4" t="s">
        <v>83</v>
      </c>
    </row>
    <row r="13" spans="1:4" x14ac:dyDescent="0.25">
      <c r="A13" s="14" t="s">
        <v>84</v>
      </c>
      <c r="B13" s="15">
        <v>26000</v>
      </c>
      <c r="C13" s="16" t="s">
        <v>85</v>
      </c>
      <c r="D13" s="4" t="s">
        <v>86</v>
      </c>
    </row>
    <row r="14" spans="1:4" ht="25.5" x14ac:dyDescent="0.25">
      <c r="A14" s="14" t="s">
        <v>87</v>
      </c>
      <c r="B14" s="15">
        <v>500</v>
      </c>
      <c r="C14" s="16" t="s">
        <v>88</v>
      </c>
      <c r="D14" s="4" t="s">
        <v>89</v>
      </c>
    </row>
    <row r="15" spans="1:4" x14ac:dyDescent="0.25">
      <c r="A15" s="14" t="s">
        <v>90</v>
      </c>
      <c r="B15" s="15">
        <v>1500</v>
      </c>
      <c r="C15" s="16" t="s">
        <v>91</v>
      </c>
      <c r="D15" s="4" t="s">
        <v>92</v>
      </c>
    </row>
    <row r="16" spans="1:4" ht="25.5" x14ac:dyDescent="0.25">
      <c r="A16" s="14" t="s">
        <v>93</v>
      </c>
      <c r="B16" s="15">
        <v>2000</v>
      </c>
      <c r="C16" s="16" t="s">
        <v>94</v>
      </c>
      <c r="D16" s="4" t="s">
        <v>95</v>
      </c>
    </row>
    <row r="17" spans="1:4" x14ac:dyDescent="0.25">
      <c r="A17" s="14" t="s">
        <v>96</v>
      </c>
      <c r="B17" s="15">
        <v>4</v>
      </c>
      <c r="C17" s="16" t="s">
        <v>97</v>
      </c>
      <c r="D17" s="4" t="s">
        <v>98</v>
      </c>
    </row>
    <row r="18" spans="1:4" ht="25.5" x14ac:dyDescent="0.25">
      <c r="A18" s="14" t="s">
        <v>99</v>
      </c>
      <c r="B18" s="15">
        <v>31</v>
      </c>
      <c r="C18" s="16" t="s">
        <v>100</v>
      </c>
      <c r="D18" s="4" t="s">
        <v>101</v>
      </c>
    </row>
    <row r="19" spans="1:4" x14ac:dyDescent="0.25">
      <c r="A19" s="14" t="s">
        <v>102</v>
      </c>
      <c r="B19" s="15">
        <v>7</v>
      </c>
      <c r="C19" s="16" t="s">
        <v>100</v>
      </c>
      <c r="D19" s="4" t="s">
        <v>103</v>
      </c>
    </row>
    <row r="20" spans="1:4" x14ac:dyDescent="0.25">
      <c r="A20" s="14" t="s">
        <v>104</v>
      </c>
      <c r="B20" s="15">
        <v>3</v>
      </c>
      <c r="C20" s="16" t="s">
        <v>100</v>
      </c>
      <c r="D20" s="4" t="s">
        <v>105</v>
      </c>
    </row>
    <row r="21" spans="1:4" x14ac:dyDescent="0.25">
      <c r="A21" s="14" t="s">
        <v>106</v>
      </c>
      <c r="B21" s="15">
        <v>45</v>
      </c>
      <c r="C21" s="16" t="s">
        <v>100</v>
      </c>
      <c r="D21" s="4" t="s">
        <v>103</v>
      </c>
    </row>
    <row r="22" spans="1:4" x14ac:dyDescent="0.25">
      <c r="A22" s="14" t="s">
        <v>107</v>
      </c>
      <c r="B22" s="15">
        <v>7</v>
      </c>
      <c r="C22" s="16" t="s">
        <v>108</v>
      </c>
      <c r="D22" s="4" t="s">
        <v>103</v>
      </c>
    </row>
    <row r="23" spans="1:4" x14ac:dyDescent="0.25">
      <c r="A23" s="14" t="s">
        <v>109</v>
      </c>
      <c r="B23" s="15">
        <v>20</v>
      </c>
      <c r="C23" s="16" t="s">
        <v>108</v>
      </c>
      <c r="D23" s="4" t="s">
        <v>110</v>
      </c>
    </row>
    <row r="24" spans="1:4" x14ac:dyDescent="0.25">
      <c r="A24" s="14" t="s">
        <v>111</v>
      </c>
      <c r="B24" s="15">
        <v>6000</v>
      </c>
      <c r="C24" s="16" t="s">
        <v>112</v>
      </c>
      <c r="D24" s="4" t="s">
        <v>113</v>
      </c>
    </row>
    <row r="25" spans="1:4" x14ac:dyDescent="0.25">
      <c r="A25" s="14" t="s">
        <v>114</v>
      </c>
      <c r="B25" s="15">
        <v>1000</v>
      </c>
      <c r="C25" s="16" t="s">
        <v>112</v>
      </c>
      <c r="D25" s="4" t="s">
        <v>113</v>
      </c>
    </row>
    <row r="26" spans="1:4" x14ac:dyDescent="0.25">
      <c r="A26" s="14" t="s">
        <v>115</v>
      </c>
      <c r="B26" s="15">
        <v>6</v>
      </c>
      <c r="C26" s="16" t="s">
        <v>116</v>
      </c>
      <c r="D26" s="4" t="s">
        <v>117</v>
      </c>
    </row>
    <row r="27" spans="1:4" x14ac:dyDescent="0.25">
      <c r="A27" s="14" t="s">
        <v>118</v>
      </c>
      <c r="B27" s="15">
        <v>10</v>
      </c>
      <c r="C27" s="16" t="s">
        <v>62</v>
      </c>
      <c r="D27" s="4" t="s">
        <v>119</v>
      </c>
    </row>
    <row r="28" spans="1:4" x14ac:dyDescent="0.25">
      <c r="A28" s="14" t="s">
        <v>120</v>
      </c>
      <c r="B28" s="17">
        <v>1.85</v>
      </c>
      <c r="C28" s="16" t="s">
        <v>121</v>
      </c>
      <c r="D28" s="4" t="s">
        <v>122</v>
      </c>
    </row>
    <row r="29" spans="1:4" x14ac:dyDescent="0.25">
      <c r="A29" s="14" t="s">
        <v>123</v>
      </c>
      <c r="B29" s="18">
        <v>0.02</v>
      </c>
      <c r="C29" s="16" t="s">
        <v>124</v>
      </c>
      <c r="D29" s="4" t="s">
        <v>125</v>
      </c>
    </row>
    <row r="30" spans="1:4" x14ac:dyDescent="0.25">
      <c r="A30" s="14" t="s">
        <v>126</v>
      </c>
      <c r="B30" s="18">
        <v>0.08</v>
      </c>
      <c r="C30" s="16" t="s">
        <v>124</v>
      </c>
      <c r="D30" s="4" t="s">
        <v>127</v>
      </c>
    </row>
    <row r="31" spans="1:4" x14ac:dyDescent="0.25">
      <c r="A31" s="14" t="s">
        <v>128</v>
      </c>
      <c r="B31" s="18">
        <v>7.0000000000000007E-2</v>
      </c>
      <c r="C31" s="16" t="s">
        <v>124</v>
      </c>
      <c r="D31" s="4" t="s">
        <v>127</v>
      </c>
    </row>
    <row r="32" spans="1:4" x14ac:dyDescent="0.25">
      <c r="A32" s="14" t="s">
        <v>129</v>
      </c>
      <c r="B32" s="18">
        <v>0.19</v>
      </c>
      <c r="C32" s="16" t="s">
        <v>124</v>
      </c>
      <c r="D32" s="4" t="s">
        <v>130</v>
      </c>
    </row>
    <row r="33" spans="1:4" ht="25.5" x14ac:dyDescent="0.25">
      <c r="A33" s="14" t="s">
        <v>131</v>
      </c>
      <c r="B33" s="19">
        <v>35000</v>
      </c>
      <c r="C33" s="16" t="s">
        <v>132</v>
      </c>
      <c r="D33" s="4" t="s">
        <v>133</v>
      </c>
    </row>
    <row r="34" spans="1:4" ht="15" customHeight="1" x14ac:dyDescent="0.25">
      <c r="A34" s="14" t="s">
        <v>134</v>
      </c>
      <c r="B34" s="19">
        <v>30000</v>
      </c>
      <c r="C34" s="16" t="s">
        <v>82</v>
      </c>
      <c r="D34" s="4" t="s">
        <v>135</v>
      </c>
    </row>
    <row r="35" spans="1:4" ht="27.75" customHeight="1" x14ac:dyDescent="0.25">
      <c r="A35" s="14" t="s">
        <v>136</v>
      </c>
      <c r="B35" s="19">
        <v>4</v>
      </c>
      <c r="C35" s="16" t="s">
        <v>137</v>
      </c>
      <c r="D35" s="4" t="s">
        <v>138</v>
      </c>
    </row>
    <row r="36" spans="1:4" ht="27.75" customHeight="1" x14ac:dyDescent="0.25"/>
    <row r="37" spans="1:4" ht="27.75" customHeight="1" x14ac:dyDescent="0.25">
      <c r="A37" s="53" t="s">
        <v>139</v>
      </c>
      <c r="B37" s="53"/>
      <c r="C37" s="53"/>
      <c r="D37" s="53"/>
    </row>
    <row r="38" spans="1:4" ht="27.75" customHeight="1" x14ac:dyDescent="0.25">
      <c r="A38" s="61" t="s">
        <v>140</v>
      </c>
      <c r="B38" s="61"/>
      <c r="C38" s="61"/>
      <c r="D38" s="61"/>
    </row>
    <row r="39" spans="1:4" ht="27.75" customHeight="1" x14ac:dyDescent="0.25">
      <c r="A39" s="64" t="s">
        <v>141</v>
      </c>
      <c r="B39" s="64"/>
      <c r="C39" s="64"/>
      <c r="D39" s="64"/>
    </row>
    <row r="40" spans="1:4" ht="27.75" customHeight="1" x14ac:dyDescent="0.25">
      <c r="A40" s="61" t="s">
        <v>142</v>
      </c>
      <c r="B40" s="61"/>
      <c r="C40" s="61"/>
      <c r="D40" s="61"/>
    </row>
    <row r="41" spans="1:4" ht="15" customHeight="1" x14ac:dyDescent="0.25">
      <c r="A41" s="61" t="s">
        <v>143</v>
      </c>
      <c r="B41" s="61"/>
      <c r="C41" s="61"/>
      <c r="D41" s="61"/>
    </row>
    <row r="42" spans="1:4" ht="15" customHeight="1" x14ac:dyDescent="0.25">
      <c r="A42" s="61" t="s">
        <v>144</v>
      </c>
      <c r="B42" s="61"/>
      <c r="C42" s="61"/>
      <c r="D42" s="61"/>
    </row>
    <row r="43" spans="1:4" ht="15" customHeight="1" x14ac:dyDescent="0.25">
      <c r="A43" s="61" t="s">
        <v>145</v>
      </c>
      <c r="B43" s="61"/>
      <c r="C43" s="61"/>
      <c r="D43" s="61"/>
    </row>
    <row r="44" spans="1:4" ht="15" customHeight="1" x14ac:dyDescent="0.25">
      <c r="A44" s="20" t="s">
        <v>146</v>
      </c>
      <c r="B44" s="21"/>
      <c r="C44" s="21"/>
      <c r="D44" s="22"/>
    </row>
    <row r="45" spans="1:4" ht="15" customHeight="1" x14ac:dyDescent="0.25">
      <c r="A45" s="62"/>
      <c r="B45" s="62"/>
      <c r="C45" s="62"/>
      <c r="D45" s="62"/>
    </row>
    <row r="46" spans="1:4" ht="15" customHeight="1" x14ac:dyDescent="0.25">
      <c r="A46" s="53" t="s">
        <v>147</v>
      </c>
      <c r="B46" s="53"/>
      <c r="C46" s="53"/>
      <c r="D46" s="53"/>
    </row>
    <row r="47" spans="1:4" ht="15" customHeight="1" x14ac:dyDescent="0.25">
      <c r="A47" s="23" t="s">
        <v>148</v>
      </c>
      <c r="B47" s="59" t="s">
        <v>149</v>
      </c>
      <c r="C47" s="59"/>
      <c r="D47" s="59"/>
    </row>
    <row r="48" spans="1:4" ht="15" customHeight="1" x14ac:dyDescent="0.25">
      <c r="A48" s="24" t="s">
        <v>150</v>
      </c>
      <c r="B48" s="59" t="s">
        <v>151</v>
      </c>
      <c r="C48" s="59"/>
      <c r="D48" s="59"/>
    </row>
    <row r="49" spans="1:4" ht="15" customHeight="1" x14ac:dyDescent="0.25">
      <c r="A49" s="25" t="s">
        <v>152</v>
      </c>
      <c r="B49" s="60" t="s">
        <v>153</v>
      </c>
      <c r="C49" s="60"/>
      <c r="D49" s="60"/>
    </row>
    <row r="50" spans="1:4" ht="15" customHeight="1" x14ac:dyDescent="0.25">
      <c r="A50" s="26" t="s">
        <v>154</v>
      </c>
      <c r="B50" s="59" t="s">
        <v>155</v>
      </c>
      <c r="C50" s="59"/>
      <c r="D50" s="59"/>
    </row>
    <row r="51" spans="1:4" ht="15" customHeight="1" x14ac:dyDescent="0.25">
      <c r="A51" s="27" t="s">
        <v>156</v>
      </c>
      <c r="B51" s="59" t="s">
        <v>157</v>
      </c>
      <c r="C51" s="59"/>
      <c r="D51" s="59"/>
    </row>
  </sheetData>
  <mergeCells count="15">
    <mergeCell ref="A1:D1"/>
    <mergeCell ref="A37:D37"/>
    <mergeCell ref="A38:D38"/>
    <mergeCell ref="A39:D39"/>
    <mergeCell ref="A40:D40"/>
    <mergeCell ref="A41:D41"/>
    <mergeCell ref="A42:D42"/>
    <mergeCell ref="A43:D43"/>
    <mergeCell ref="A45:D45"/>
    <mergeCell ref="A46:D46"/>
    <mergeCell ref="B47:D47"/>
    <mergeCell ref="B48:D48"/>
    <mergeCell ref="B49:D49"/>
    <mergeCell ref="B50:D50"/>
    <mergeCell ref="B51:D51"/>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9"/>
  <sheetViews>
    <sheetView topLeftCell="B16" zoomScaleNormal="100" workbookViewId="0">
      <selection activeCell="J32" sqref="J23:M32"/>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 min="10" max="10" width="19.7109375" customWidth="1"/>
    <col min="11" max="11" width="14.5703125" customWidth="1"/>
  </cols>
  <sheetData>
    <row r="1" spans="1:11" ht="30" customHeight="1" x14ac:dyDescent="0.25">
      <c r="A1" s="67" t="s">
        <v>158</v>
      </c>
      <c r="B1" s="67"/>
      <c r="C1" s="67"/>
      <c r="D1" s="67"/>
      <c r="E1" s="67"/>
      <c r="F1" s="67"/>
      <c r="G1" s="67"/>
      <c r="H1" s="67"/>
    </row>
    <row r="2" spans="1:11" ht="15" customHeight="1" x14ac:dyDescent="0.25">
      <c r="A2" s="68" t="s">
        <v>159</v>
      </c>
      <c r="B2" s="68"/>
      <c r="C2" s="68"/>
      <c r="D2" s="68"/>
      <c r="E2" s="68"/>
      <c r="F2" s="68"/>
      <c r="G2" s="68"/>
      <c r="H2" s="68"/>
    </row>
    <row r="4" spans="1:11" ht="37.5" customHeight="1" x14ac:dyDescent="0.25">
      <c r="A4" s="1" t="s">
        <v>3</v>
      </c>
      <c r="B4" s="1" t="s">
        <v>160</v>
      </c>
      <c r="C4" s="1" t="s">
        <v>59</v>
      </c>
      <c r="D4" s="1" t="s">
        <v>161</v>
      </c>
      <c r="E4" s="1" t="s">
        <v>162</v>
      </c>
      <c r="F4" s="1" t="s">
        <v>163</v>
      </c>
      <c r="G4" s="1" t="s">
        <v>164</v>
      </c>
      <c r="H4" s="1" t="s">
        <v>165</v>
      </c>
    </row>
    <row r="5" spans="1:11" ht="15" customHeight="1" x14ac:dyDescent="0.25">
      <c r="A5" s="69" t="s">
        <v>166</v>
      </c>
      <c r="B5" s="69"/>
      <c r="C5" s="69"/>
      <c r="D5" s="69"/>
      <c r="E5" s="69"/>
      <c r="F5" s="69"/>
      <c r="G5" s="69"/>
      <c r="H5" s="69"/>
      <c r="K5" s="39"/>
    </row>
    <row r="6" spans="1:11" ht="31.5" customHeight="1" x14ac:dyDescent="0.25">
      <c r="A6" s="28">
        <v>1</v>
      </c>
      <c r="B6" s="14" t="s">
        <v>167</v>
      </c>
      <c r="C6" s="16" t="s">
        <v>168</v>
      </c>
      <c r="D6" s="29">
        <f>'1. Parámetros'!$B$6</f>
        <v>2</v>
      </c>
      <c r="E6" s="30">
        <v>144875182.40000001</v>
      </c>
      <c r="F6" s="29">
        <f>'1. Parámetros'!$B$4</f>
        <v>36</v>
      </c>
      <c r="G6" s="31">
        <f t="shared" ref="G6:G11" si="0">D6*E6*F6</f>
        <v>10431013132.800001</v>
      </c>
      <c r="H6" s="4" t="s">
        <v>69</v>
      </c>
    </row>
    <row r="7" spans="1:11" ht="31.5" customHeight="1" x14ac:dyDescent="0.25">
      <c r="A7" s="28">
        <v>2</v>
      </c>
      <c r="B7" s="14" t="s">
        <v>169</v>
      </c>
      <c r="C7" s="16" t="s">
        <v>170</v>
      </c>
      <c r="D7" s="29">
        <f>'1. Parámetros'!$B$7</f>
        <v>765</v>
      </c>
      <c r="E7" s="30">
        <v>9580803.1999999993</v>
      </c>
      <c r="F7" s="29">
        <f>'1. Parámetros'!$B$4</f>
        <v>36</v>
      </c>
      <c r="G7" s="31">
        <f t="shared" si="0"/>
        <v>263855320127.99997</v>
      </c>
      <c r="H7" s="4" t="s">
        <v>171</v>
      </c>
    </row>
    <row r="8" spans="1:11" ht="31.5" customHeight="1" x14ac:dyDescent="0.25">
      <c r="A8" s="28">
        <v>3</v>
      </c>
      <c r="B8" s="14" t="s">
        <v>172</v>
      </c>
      <c r="C8" s="16" t="s">
        <v>170</v>
      </c>
      <c r="D8" s="29">
        <f>'1. Parámetros'!$B$8</f>
        <v>86</v>
      </c>
      <c r="E8" s="30">
        <v>2573572.7999999998</v>
      </c>
      <c r="F8" s="29">
        <f>'1. Parámetros'!$B$4</f>
        <v>36</v>
      </c>
      <c r="G8" s="31">
        <f t="shared" si="0"/>
        <v>7967781388.7999992</v>
      </c>
      <c r="H8" s="4" t="s">
        <v>173</v>
      </c>
    </row>
    <row r="9" spans="1:11" ht="31.5" customHeight="1" x14ac:dyDescent="0.25">
      <c r="A9" s="28">
        <v>4</v>
      </c>
      <c r="B9" s="14" t="s">
        <v>174</v>
      </c>
      <c r="C9" s="16" t="s">
        <v>170</v>
      </c>
      <c r="D9" s="29">
        <f>'1. Parámetros'!$B$9</f>
        <v>25</v>
      </c>
      <c r="E9" s="30">
        <v>8163887.9124244181</v>
      </c>
      <c r="F9" s="29">
        <f>'1. Parámetros'!$B$4</f>
        <v>36</v>
      </c>
      <c r="G9" s="31">
        <f t="shared" si="0"/>
        <v>7347499121.1819763</v>
      </c>
      <c r="H9" s="4" t="s">
        <v>175</v>
      </c>
    </row>
    <row r="10" spans="1:11" ht="31.5" customHeight="1" x14ac:dyDescent="0.25">
      <c r="A10" s="28">
        <v>5</v>
      </c>
      <c r="B10" s="14" t="s">
        <v>176</v>
      </c>
      <c r="C10" s="16" t="s">
        <v>177</v>
      </c>
      <c r="D10" s="29">
        <f>'1. Parámetros'!$B$10</f>
        <v>4</v>
      </c>
      <c r="E10" s="30">
        <v>42176990.399999999</v>
      </c>
      <c r="F10" s="29">
        <f>'1. Parámetros'!$B$4</f>
        <v>36</v>
      </c>
      <c r="G10" s="31">
        <f t="shared" si="0"/>
        <v>6073486617.5999994</v>
      </c>
      <c r="H10" s="4" t="s">
        <v>178</v>
      </c>
    </row>
    <row r="11" spans="1:11" ht="31.5" customHeight="1" x14ac:dyDescent="0.25">
      <c r="A11" s="28">
        <v>6</v>
      </c>
      <c r="B11" s="14" t="s">
        <v>179</v>
      </c>
      <c r="C11" s="16" t="s">
        <v>177</v>
      </c>
      <c r="D11" s="29">
        <f>'1. Parámetros'!$B$11</f>
        <v>4</v>
      </c>
      <c r="E11" s="30">
        <v>1870937.6</v>
      </c>
      <c r="F11" s="29">
        <f>'1. Parámetros'!$B$4</f>
        <v>36</v>
      </c>
      <c r="G11" s="31">
        <f t="shared" si="0"/>
        <v>269415014.40000004</v>
      </c>
      <c r="H11" s="4" t="s">
        <v>180</v>
      </c>
    </row>
    <row r="12" spans="1:11" x14ac:dyDescent="0.25">
      <c r="A12" s="65" t="s">
        <v>181</v>
      </c>
      <c r="B12" s="65"/>
      <c r="C12" s="65"/>
      <c r="D12" s="65"/>
      <c r="E12" s="65"/>
      <c r="F12" s="65"/>
      <c r="G12" s="7">
        <f>SUM(G6:G11)</f>
        <v>295944515402.78198</v>
      </c>
      <c r="H12" s="32"/>
    </row>
    <row r="14" spans="1:11" ht="15" customHeight="1" x14ac:dyDescent="0.25">
      <c r="A14" s="69" t="s">
        <v>182</v>
      </c>
      <c r="B14" s="69"/>
      <c r="C14" s="69"/>
      <c r="D14" s="69"/>
      <c r="E14" s="69"/>
      <c r="F14" s="69"/>
      <c r="G14" s="69"/>
      <c r="H14" s="69"/>
    </row>
    <row r="15" spans="1:11" ht="31.5" customHeight="1" x14ac:dyDescent="0.25">
      <c r="A15" s="28">
        <v>1</v>
      </c>
      <c r="B15" s="14" t="s">
        <v>183</v>
      </c>
      <c r="C15" s="16" t="s">
        <v>184</v>
      </c>
      <c r="D15" s="15">
        <v>20</v>
      </c>
      <c r="E15" s="30">
        <v>15662080</v>
      </c>
      <c r="F15" s="15">
        <v>1</v>
      </c>
      <c r="G15" s="31">
        <f t="shared" ref="G15:G20" si="1">D15*E15*F15</f>
        <v>313241600</v>
      </c>
      <c r="H15" s="4" t="s">
        <v>185</v>
      </c>
    </row>
    <row r="16" spans="1:11" ht="31.5" customHeight="1" x14ac:dyDescent="0.25">
      <c r="A16" s="28">
        <v>2</v>
      </c>
      <c r="B16" s="14" t="s">
        <v>186</v>
      </c>
      <c r="C16" s="16" t="s">
        <v>187</v>
      </c>
      <c r="D16" s="15">
        <v>20</v>
      </c>
      <c r="E16" s="30">
        <v>2736000</v>
      </c>
      <c r="F16" s="15">
        <v>36</v>
      </c>
      <c r="G16" s="31">
        <f t="shared" si="1"/>
        <v>1969920000</v>
      </c>
      <c r="H16" s="4" t="s">
        <v>188</v>
      </c>
    </row>
    <row r="17" spans="1:12" ht="31.5" customHeight="1" x14ac:dyDescent="0.25">
      <c r="A17" s="28">
        <v>3</v>
      </c>
      <c r="B17" s="14" t="s">
        <v>189</v>
      </c>
      <c r="C17" s="16" t="s">
        <v>190</v>
      </c>
      <c r="D17" s="15">
        <v>1</v>
      </c>
      <c r="E17" s="30">
        <v>45235200</v>
      </c>
      <c r="F17" s="15">
        <v>1</v>
      </c>
      <c r="G17" s="31">
        <f t="shared" si="1"/>
        <v>45235200</v>
      </c>
      <c r="H17" s="4" t="s">
        <v>191</v>
      </c>
    </row>
    <row r="18" spans="1:12" ht="31.5" customHeight="1" x14ac:dyDescent="0.25">
      <c r="A18" s="28">
        <v>4</v>
      </c>
      <c r="B18" s="14" t="s">
        <v>192</v>
      </c>
      <c r="C18" s="16" t="s">
        <v>193</v>
      </c>
      <c r="D18" s="15">
        <v>1</v>
      </c>
      <c r="E18" s="30">
        <v>71825066.666666657</v>
      </c>
      <c r="F18" s="15">
        <v>36</v>
      </c>
      <c r="G18" s="31">
        <f t="shared" si="1"/>
        <v>2585702399.9999995</v>
      </c>
      <c r="H18" s="4" t="s">
        <v>194</v>
      </c>
    </row>
    <row r="19" spans="1:12" ht="31.5" customHeight="1" x14ac:dyDescent="0.25">
      <c r="A19" s="28">
        <v>5</v>
      </c>
      <c r="B19" s="14" t="s">
        <v>195</v>
      </c>
      <c r="C19" s="16" t="s">
        <v>196</v>
      </c>
      <c r="D19" s="15">
        <v>3</v>
      </c>
      <c r="E19" s="30">
        <v>114000000</v>
      </c>
      <c r="F19" s="15">
        <v>1</v>
      </c>
      <c r="G19" s="31">
        <f t="shared" si="1"/>
        <v>342000000</v>
      </c>
      <c r="H19" s="4" t="s">
        <v>197</v>
      </c>
    </row>
    <row r="20" spans="1:12" ht="31.5" customHeight="1" x14ac:dyDescent="0.25">
      <c r="A20" s="28">
        <v>6</v>
      </c>
      <c r="B20" s="14" t="s">
        <v>198</v>
      </c>
      <c r="C20" s="16" t="s">
        <v>199</v>
      </c>
      <c r="D20" s="15">
        <v>12</v>
      </c>
      <c r="E20" s="30">
        <v>19000000</v>
      </c>
      <c r="F20" s="15">
        <v>1</v>
      </c>
      <c r="G20" s="31">
        <f t="shared" si="1"/>
        <v>228000000</v>
      </c>
      <c r="H20" s="4" t="s">
        <v>200</v>
      </c>
    </row>
    <row r="21" spans="1:12" x14ac:dyDescent="0.25">
      <c r="A21" s="65" t="s">
        <v>201</v>
      </c>
      <c r="B21" s="65"/>
      <c r="C21" s="65"/>
      <c r="D21" s="65"/>
      <c r="E21" s="65"/>
      <c r="F21" s="65"/>
      <c r="G21" s="7">
        <f>SUM(G15:G20)</f>
        <v>5484099200</v>
      </c>
      <c r="H21" s="32"/>
    </row>
    <row r="23" spans="1:12" ht="30" customHeight="1" x14ac:dyDescent="0.25">
      <c r="A23" s="66" t="s">
        <v>202</v>
      </c>
      <c r="B23" s="66"/>
      <c r="C23" s="66"/>
      <c r="D23" s="66"/>
      <c r="E23" s="66"/>
      <c r="F23" s="66"/>
      <c r="G23" s="33">
        <f>G12+G21</f>
        <v>301428614602.78198</v>
      </c>
      <c r="H23" s="34"/>
    </row>
    <row r="28" spans="1:12" x14ac:dyDescent="0.25">
      <c r="L28" s="42"/>
    </row>
    <row r="29" spans="1:12" x14ac:dyDescent="0.25">
      <c r="F29">
        <v>179</v>
      </c>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0"/>
  <sheetViews>
    <sheetView topLeftCell="B23" zoomScaleNormal="100" workbookViewId="0">
      <selection activeCell="J29" sqref="J1:K29"/>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 min="10" max="10" width="20.28515625" customWidth="1"/>
    <col min="11" max="11" width="15.42578125" customWidth="1"/>
  </cols>
  <sheetData>
    <row r="1" spans="1:11" ht="30" customHeight="1" x14ac:dyDescent="0.25">
      <c r="A1" s="67" t="s">
        <v>203</v>
      </c>
      <c r="B1" s="67"/>
      <c r="C1" s="67"/>
      <c r="D1" s="67"/>
      <c r="E1" s="67"/>
      <c r="F1" s="67"/>
      <c r="G1" s="67"/>
      <c r="H1" s="67"/>
    </row>
    <row r="2" spans="1:11" ht="15" customHeight="1" x14ac:dyDescent="0.25">
      <c r="A2" s="68" t="s">
        <v>204</v>
      </c>
      <c r="B2" s="68"/>
      <c r="C2" s="68"/>
      <c r="D2" s="68"/>
      <c r="E2" s="68"/>
      <c r="F2" s="68"/>
      <c r="G2" s="68"/>
      <c r="H2" s="68"/>
    </row>
    <row r="4" spans="1:11" ht="37.5" customHeight="1" x14ac:dyDescent="0.25">
      <c r="A4" s="1" t="s">
        <v>3</v>
      </c>
      <c r="B4" s="1" t="s">
        <v>160</v>
      </c>
      <c r="C4" s="1" t="s">
        <v>59</v>
      </c>
      <c r="D4" s="1" t="s">
        <v>161</v>
      </c>
      <c r="E4" s="1" t="s">
        <v>162</v>
      </c>
      <c r="F4" s="1" t="s">
        <v>163</v>
      </c>
      <c r="G4" s="1" t="s">
        <v>164</v>
      </c>
      <c r="H4" s="1" t="s">
        <v>165</v>
      </c>
    </row>
    <row r="5" spans="1:11" ht="15" customHeight="1" x14ac:dyDescent="0.25">
      <c r="A5" s="69" t="s">
        <v>205</v>
      </c>
      <c r="B5" s="69"/>
      <c r="C5" s="69"/>
      <c r="D5" s="69"/>
      <c r="E5" s="69"/>
      <c r="F5" s="69"/>
      <c r="G5" s="69"/>
      <c r="H5" s="69"/>
      <c r="K5" s="39"/>
    </row>
    <row r="6" spans="1:11" ht="31.5" customHeight="1" x14ac:dyDescent="0.25">
      <c r="A6" s="28">
        <v>1</v>
      </c>
      <c r="B6" s="14" t="s">
        <v>206</v>
      </c>
      <c r="C6" s="16" t="s">
        <v>207</v>
      </c>
      <c r="D6" s="29">
        <f>'1. Parámetros'!$B$12</f>
        <v>30000</v>
      </c>
      <c r="E6" s="30">
        <v>25080</v>
      </c>
      <c r="F6" s="29">
        <f>'1. Parámetros'!$B$4</f>
        <v>36</v>
      </c>
      <c r="G6" s="31">
        <f t="shared" ref="G6:G11" si="0">D6*E6*F6</f>
        <v>27086400000</v>
      </c>
      <c r="H6" s="4" t="s">
        <v>208</v>
      </c>
    </row>
    <row r="7" spans="1:11" ht="31.5" customHeight="1" x14ac:dyDescent="0.25">
      <c r="A7" s="28">
        <v>2</v>
      </c>
      <c r="B7" s="14" t="s">
        <v>209</v>
      </c>
      <c r="C7" s="16" t="s">
        <v>210</v>
      </c>
      <c r="D7" s="29">
        <f>'1. Parámetros'!$B$13</f>
        <v>26000</v>
      </c>
      <c r="E7" s="30">
        <v>17480</v>
      </c>
      <c r="F7" s="29">
        <f>'1. Parámetros'!$B$4</f>
        <v>36</v>
      </c>
      <c r="G7" s="31">
        <f t="shared" si="0"/>
        <v>16361280000</v>
      </c>
      <c r="H7" s="4" t="s">
        <v>211</v>
      </c>
    </row>
    <row r="8" spans="1:11" ht="31.5" customHeight="1" x14ac:dyDescent="0.25">
      <c r="A8" s="28">
        <v>3</v>
      </c>
      <c r="B8" s="14" t="s">
        <v>212</v>
      </c>
      <c r="C8" s="16" t="s">
        <v>213</v>
      </c>
      <c r="D8" s="29">
        <f>'1. Parámetros'!$B$14</f>
        <v>500</v>
      </c>
      <c r="E8" s="30">
        <v>30400</v>
      </c>
      <c r="F8" s="29">
        <f>'1. Parámetros'!$B$4</f>
        <v>36</v>
      </c>
      <c r="G8" s="31">
        <f t="shared" si="0"/>
        <v>547200000</v>
      </c>
      <c r="H8" s="4" t="s">
        <v>214</v>
      </c>
    </row>
    <row r="9" spans="1:11" ht="31.5" customHeight="1" x14ac:dyDescent="0.25">
      <c r="A9" s="28">
        <v>4</v>
      </c>
      <c r="B9" s="14" t="s">
        <v>215</v>
      </c>
      <c r="C9" s="16" t="s">
        <v>216</v>
      </c>
      <c r="D9" s="15">
        <v>1</v>
      </c>
      <c r="E9" s="30">
        <v>60800000</v>
      </c>
      <c r="F9" s="29">
        <f>'1. Parámetros'!$B$4</f>
        <v>36</v>
      </c>
      <c r="G9" s="31">
        <f t="shared" si="0"/>
        <v>2188800000</v>
      </c>
      <c r="H9" s="4" t="s">
        <v>217</v>
      </c>
    </row>
    <row r="10" spans="1:11" ht="31.5" customHeight="1" x14ac:dyDescent="0.25">
      <c r="A10" s="28">
        <v>5</v>
      </c>
      <c r="B10" s="14" t="s">
        <v>218</v>
      </c>
      <c r="C10" s="16" t="s">
        <v>219</v>
      </c>
      <c r="D10" s="29">
        <f>'1. Parámetros'!$B$17</f>
        <v>4</v>
      </c>
      <c r="E10" s="30">
        <v>9120000</v>
      </c>
      <c r="F10" s="29">
        <f>'1. Parámetros'!$B$4</f>
        <v>36</v>
      </c>
      <c r="G10" s="31">
        <f t="shared" si="0"/>
        <v>1313280000</v>
      </c>
      <c r="H10" s="4" t="s">
        <v>220</v>
      </c>
    </row>
    <row r="11" spans="1:11" ht="31.5" customHeight="1" x14ac:dyDescent="0.25">
      <c r="A11" s="28">
        <v>6</v>
      </c>
      <c r="B11" s="14" t="s">
        <v>221</v>
      </c>
      <c r="C11" s="16" t="s">
        <v>222</v>
      </c>
      <c r="D11" s="15">
        <v>1</v>
      </c>
      <c r="E11" s="30">
        <v>6080000</v>
      </c>
      <c r="F11" s="29">
        <f>'1. Parámetros'!$B$4</f>
        <v>36</v>
      </c>
      <c r="G11" s="31">
        <f t="shared" si="0"/>
        <v>218880000</v>
      </c>
      <c r="H11" s="4" t="s">
        <v>223</v>
      </c>
    </row>
    <row r="12" spans="1:11" x14ac:dyDescent="0.25">
      <c r="A12" s="65" t="s">
        <v>224</v>
      </c>
      <c r="B12" s="65"/>
      <c r="C12" s="65"/>
      <c r="D12" s="65"/>
      <c r="E12" s="65"/>
      <c r="F12" s="65"/>
      <c r="G12" s="7">
        <f>SUM(G6:G11)</f>
        <v>47715840000</v>
      </c>
      <c r="H12" s="32"/>
    </row>
    <row r="14" spans="1:11" ht="15" customHeight="1" x14ac:dyDescent="0.25">
      <c r="A14" s="69" t="s">
        <v>225</v>
      </c>
      <c r="B14" s="69"/>
      <c r="C14" s="69"/>
      <c r="D14" s="69"/>
      <c r="E14" s="69"/>
      <c r="F14" s="69"/>
      <c r="G14" s="69"/>
      <c r="H14" s="69"/>
    </row>
    <row r="15" spans="1:11" ht="31.5" customHeight="1" x14ac:dyDescent="0.25">
      <c r="A15" s="28">
        <v>1</v>
      </c>
      <c r="B15" s="14" t="s">
        <v>226</v>
      </c>
      <c r="C15" s="16" t="s">
        <v>193</v>
      </c>
      <c r="D15" s="15">
        <v>1</v>
      </c>
      <c r="E15" s="30">
        <v>155800000</v>
      </c>
      <c r="F15" s="29">
        <f>'1. Parámetros'!$B$4</f>
        <v>36</v>
      </c>
      <c r="G15" s="31">
        <f t="shared" ref="G15:G27" si="1">D15*E15*F15</f>
        <v>5608800000</v>
      </c>
      <c r="H15" s="4" t="s">
        <v>227</v>
      </c>
    </row>
    <row r="16" spans="1:11" ht="31.5" customHeight="1" x14ac:dyDescent="0.25">
      <c r="A16" s="28">
        <v>2</v>
      </c>
      <c r="B16" s="14" t="s">
        <v>228</v>
      </c>
      <c r="C16" s="16" t="s">
        <v>216</v>
      </c>
      <c r="D16" s="15">
        <v>1</v>
      </c>
      <c r="E16" s="30">
        <v>62320000</v>
      </c>
      <c r="F16" s="29">
        <f>'1. Parámetros'!$B$4</f>
        <v>36</v>
      </c>
      <c r="G16" s="31">
        <f t="shared" si="1"/>
        <v>2243520000</v>
      </c>
      <c r="H16" s="4" t="s">
        <v>229</v>
      </c>
    </row>
    <row r="17" spans="1:8" ht="31.5" customHeight="1" x14ac:dyDescent="0.25">
      <c r="A17" s="28">
        <v>3</v>
      </c>
      <c r="B17" s="14" t="s">
        <v>230</v>
      </c>
      <c r="C17" s="16" t="s">
        <v>216</v>
      </c>
      <c r="D17" s="15">
        <v>1</v>
      </c>
      <c r="E17" s="30">
        <v>19000000</v>
      </c>
      <c r="F17" s="29">
        <f>'1. Parámetros'!$B$4</f>
        <v>36</v>
      </c>
      <c r="G17" s="31">
        <f t="shared" si="1"/>
        <v>684000000</v>
      </c>
      <c r="H17" s="4" t="s">
        <v>231</v>
      </c>
    </row>
    <row r="18" spans="1:8" ht="31.5" customHeight="1" x14ac:dyDescent="0.25">
      <c r="A18" s="28">
        <v>4</v>
      </c>
      <c r="B18" s="14" t="s">
        <v>232</v>
      </c>
      <c r="C18" s="16" t="s">
        <v>193</v>
      </c>
      <c r="D18" s="15">
        <v>1</v>
      </c>
      <c r="E18" s="30">
        <v>22800000</v>
      </c>
      <c r="F18" s="29">
        <f>'1. Parámetros'!$B$4</f>
        <v>36</v>
      </c>
      <c r="G18" s="31">
        <f t="shared" si="1"/>
        <v>820800000</v>
      </c>
      <c r="H18" s="4" t="s">
        <v>233</v>
      </c>
    </row>
    <row r="19" spans="1:8" ht="31.5" customHeight="1" x14ac:dyDescent="0.25">
      <c r="A19" s="28">
        <v>5</v>
      </c>
      <c r="B19" s="14" t="s">
        <v>234</v>
      </c>
      <c r="C19" s="16" t="s">
        <v>235</v>
      </c>
      <c r="D19" s="29">
        <f>'1. Parámetros'!$B$15</f>
        <v>1500</v>
      </c>
      <c r="E19" s="30">
        <v>25840</v>
      </c>
      <c r="F19" s="29">
        <f>'1. Parámetros'!$B$4</f>
        <v>36</v>
      </c>
      <c r="G19" s="31">
        <f t="shared" si="1"/>
        <v>1395360000</v>
      </c>
      <c r="H19" s="4" t="s">
        <v>236</v>
      </c>
    </row>
    <row r="20" spans="1:8" ht="31.5" customHeight="1" x14ac:dyDescent="0.25">
      <c r="A20" s="28">
        <v>6</v>
      </c>
      <c r="B20" s="14" t="s">
        <v>237</v>
      </c>
      <c r="C20" s="16" t="s">
        <v>193</v>
      </c>
      <c r="D20" s="15">
        <v>1</v>
      </c>
      <c r="E20" s="30">
        <v>43320000</v>
      </c>
      <c r="F20" s="29">
        <f>'1. Parámetros'!$B$4</f>
        <v>36</v>
      </c>
      <c r="G20" s="31">
        <f t="shared" si="1"/>
        <v>1559520000</v>
      </c>
      <c r="H20" s="4" t="s">
        <v>238</v>
      </c>
    </row>
    <row r="21" spans="1:8" ht="31.5" customHeight="1" x14ac:dyDescent="0.25">
      <c r="A21" s="28">
        <v>7</v>
      </c>
      <c r="B21" s="14" t="s">
        <v>239</v>
      </c>
      <c r="C21" s="16" t="s">
        <v>207</v>
      </c>
      <c r="D21" s="29">
        <f>'1. Parámetros'!$B$12</f>
        <v>30000</v>
      </c>
      <c r="E21" s="30">
        <v>8740</v>
      </c>
      <c r="F21" s="29">
        <f>'1. Parámetros'!$B$4</f>
        <v>36</v>
      </c>
      <c r="G21" s="31">
        <f t="shared" si="1"/>
        <v>9439200000</v>
      </c>
      <c r="H21" s="4" t="s">
        <v>240</v>
      </c>
    </row>
    <row r="22" spans="1:8" ht="31.5" customHeight="1" x14ac:dyDescent="0.25">
      <c r="A22" s="28">
        <v>8</v>
      </c>
      <c r="B22" s="14" t="s">
        <v>241</v>
      </c>
      <c r="C22" s="16" t="s">
        <v>210</v>
      </c>
      <c r="D22" s="29">
        <f>'1. Parámetros'!$B$13</f>
        <v>26000</v>
      </c>
      <c r="E22" s="30">
        <v>15580</v>
      </c>
      <c r="F22" s="29">
        <f>'1. Parámetros'!$B$4</f>
        <v>36</v>
      </c>
      <c r="G22" s="31">
        <f t="shared" si="1"/>
        <v>14582880000</v>
      </c>
      <c r="H22" s="4" t="s">
        <v>242</v>
      </c>
    </row>
    <row r="23" spans="1:8" ht="31.5" customHeight="1" x14ac:dyDescent="0.25">
      <c r="A23" s="28">
        <v>9</v>
      </c>
      <c r="B23" s="14" t="s">
        <v>243</v>
      </c>
      <c r="C23" s="16" t="s">
        <v>193</v>
      </c>
      <c r="D23" s="15">
        <v>1</v>
      </c>
      <c r="E23" s="30">
        <v>11400000</v>
      </c>
      <c r="F23" s="29">
        <f>'1. Parámetros'!$B$4</f>
        <v>36</v>
      </c>
      <c r="G23" s="31">
        <f t="shared" si="1"/>
        <v>410400000</v>
      </c>
      <c r="H23" s="4" t="s">
        <v>244</v>
      </c>
    </row>
    <row r="24" spans="1:8" ht="31.5" customHeight="1" x14ac:dyDescent="0.25">
      <c r="A24" s="28">
        <v>10</v>
      </c>
      <c r="B24" s="14" t="s">
        <v>245</v>
      </c>
      <c r="C24" s="16" t="s">
        <v>246</v>
      </c>
      <c r="D24" s="29">
        <f>'1. Parámetros'!$B$16</f>
        <v>2000</v>
      </c>
      <c r="E24" s="30">
        <v>8360</v>
      </c>
      <c r="F24" s="29">
        <f>'1. Parámetros'!$B$4</f>
        <v>36</v>
      </c>
      <c r="G24" s="31">
        <f t="shared" si="1"/>
        <v>601920000</v>
      </c>
      <c r="H24" s="4" t="s">
        <v>247</v>
      </c>
    </row>
    <row r="25" spans="1:8" ht="31.5" customHeight="1" x14ac:dyDescent="0.25">
      <c r="A25" s="28">
        <v>11</v>
      </c>
      <c r="B25" s="14" t="s">
        <v>248</v>
      </c>
      <c r="C25" s="16" t="s">
        <v>193</v>
      </c>
      <c r="D25" s="15">
        <v>1</v>
      </c>
      <c r="E25" s="30">
        <v>7600000</v>
      </c>
      <c r="F25" s="29">
        <f>'1. Parámetros'!$B$4</f>
        <v>36</v>
      </c>
      <c r="G25" s="31">
        <f t="shared" si="1"/>
        <v>273600000</v>
      </c>
      <c r="H25" s="4" t="s">
        <v>249</v>
      </c>
    </row>
    <row r="26" spans="1:8" ht="31.5" customHeight="1" x14ac:dyDescent="0.25">
      <c r="A26" s="35">
        <v>12</v>
      </c>
      <c r="B26" s="36" t="s">
        <v>250</v>
      </c>
      <c r="C26" s="16" t="s">
        <v>193</v>
      </c>
      <c r="D26" s="15">
        <v>1</v>
      </c>
      <c r="E26" s="30">
        <v>21280000</v>
      </c>
      <c r="F26" s="29">
        <v>36</v>
      </c>
      <c r="G26" s="31">
        <f t="shared" si="1"/>
        <v>766080000</v>
      </c>
      <c r="H26" s="4" t="s">
        <v>251</v>
      </c>
    </row>
    <row r="27" spans="1:8" ht="31.5" customHeight="1" x14ac:dyDescent="0.25">
      <c r="A27" s="28">
        <v>13</v>
      </c>
      <c r="B27" s="14" t="s">
        <v>252</v>
      </c>
      <c r="C27" s="16" t="s">
        <v>253</v>
      </c>
      <c r="D27" s="29">
        <f>'1. Parámetros'!$B$26</f>
        <v>6</v>
      </c>
      <c r="E27" s="30">
        <v>26600000</v>
      </c>
      <c r="F27" s="15">
        <v>1</v>
      </c>
      <c r="G27" s="31">
        <f t="shared" si="1"/>
        <v>159600000</v>
      </c>
      <c r="H27" s="4" t="s">
        <v>254</v>
      </c>
    </row>
    <row r="28" spans="1:8" x14ac:dyDescent="0.25">
      <c r="A28" s="65" t="s">
        <v>255</v>
      </c>
      <c r="B28" s="65"/>
      <c r="C28" s="65"/>
      <c r="D28" s="65"/>
      <c r="E28" s="65"/>
      <c r="F28" s="65"/>
      <c r="G28" s="7">
        <f>SUM(G15:G27)</f>
        <v>38545680000</v>
      </c>
      <c r="H28" s="32"/>
    </row>
    <row r="30" spans="1:8" ht="30" customHeight="1" x14ac:dyDescent="0.25">
      <c r="A30" s="66" t="s">
        <v>256</v>
      </c>
      <c r="B30" s="66"/>
      <c r="C30" s="66"/>
      <c r="D30" s="66"/>
      <c r="E30" s="66"/>
      <c r="F30" s="66"/>
      <c r="G30" s="33">
        <f>G12+G28</f>
        <v>86261520000</v>
      </c>
      <c r="H30" s="34"/>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2"/>
  <sheetViews>
    <sheetView topLeftCell="B15" zoomScaleNormal="100" workbookViewId="0">
      <selection activeCell="J22" sqref="J1:M22"/>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12" ht="30" customHeight="1" x14ac:dyDescent="0.25">
      <c r="A1" s="67" t="s">
        <v>257</v>
      </c>
      <c r="B1" s="67"/>
      <c r="C1" s="67"/>
      <c r="D1" s="67"/>
      <c r="E1" s="67"/>
      <c r="F1" s="67"/>
      <c r="G1" s="67"/>
      <c r="H1" s="67"/>
    </row>
    <row r="2" spans="1:12" ht="15" customHeight="1" x14ac:dyDescent="0.25">
      <c r="A2" s="68" t="s">
        <v>258</v>
      </c>
      <c r="B2" s="68"/>
      <c r="C2" s="68"/>
      <c r="D2" s="68"/>
      <c r="E2" s="68"/>
      <c r="F2" s="68"/>
      <c r="G2" s="68"/>
      <c r="H2" s="68"/>
    </row>
    <row r="4" spans="1:12" ht="37.5" customHeight="1" x14ac:dyDescent="0.25">
      <c r="A4" s="1" t="s">
        <v>3</v>
      </c>
      <c r="B4" s="1" t="s">
        <v>160</v>
      </c>
      <c r="C4" s="1" t="s">
        <v>59</v>
      </c>
      <c r="D4" s="1" t="s">
        <v>161</v>
      </c>
      <c r="E4" s="1" t="s">
        <v>162</v>
      </c>
      <c r="F4" s="1" t="s">
        <v>163</v>
      </c>
      <c r="G4" s="1" t="s">
        <v>164</v>
      </c>
      <c r="H4" s="1" t="s">
        <v>165</v>
      </c>
    </row>
    <row r="5" spans="1:12" ht="15" customHeight="1" x14ac:dyDescent="0.25">
      <c r="A5" s="69" t="s">
        <v>259</v>
      </c>
      <c r="B5" s="69"/>
      <c r="C5" s="69"/>
      <c r="D5" s="69"/>
      <c r="E5" s="69"/>
      <c r="F5" s="69"/>
      <c r="G5" s="69"/>
      <c r="H5" s="69"/>
      <c r="L5" s="39"/>
    </row>
    <row r="6" spans="1:12" ht="31.5" customHeight="1" x14ac:dyDescent="0.25">
      <c r="A6" s="28">
        <v>1</v>
      </c>
      <c r="B6" s="14" t="s">
        <v>260</v>
      </c>
      <c r="C6" s="16" t="s">
        <v>207</v>
      </c>
      <c r="D6" s="29">
        <f>'1. Parámetros'!$B$12</f>
        <v>30000</v>
      </c>
      <c r="E6" s="30">
        <v>21280</v>
      </c>
      <c r="F6" s="29">
        <f>'1. Parámetros'!$B$4</f>
        <v>36</v>
      </c>
      <c r="G6" s="31">
        <f>D6*E6*F6</f>
        <v>22982400000</v>
      </c>
      <c r="H6" s="4" t="s">
        <v>261</v>
      </c>
    </row>
    <row r="7" spans="1:12" ht="31.5" customHeight="1" x14ac:dyDescent="0.25">
      <c r="A7" s="28">
        <v>2</v>
      </c>
      <c r="B7" s="14" t="s">
        <v>262</v>
      </c>
      <c r="C7" s="16" t="s">
        <v>216</v>
      </c>
      <c r="D7" s="15">
        <v>1</v>
      </c>
      <c r="E7" s="30">
        <v>26600000</v>
      </c>
      <c r="F7" s="29">
        <f>'1. Parámetros'!$B$4</f>
        <v>36</v>
      </c>
      <c r="G7" s="31">
        <f>D7*E7*F7</f>
        <v>957600000</v>
      </c>
      <c r="H7" s="4" t="s">
        <v>263</v>
      </c>
    </row>
    <row r="8" spans="1:12" ht="31.5" customHeight="1" x14ac:dyDescent="0.25">
      <c r="A8" s="28">
        <v>3</v>
      </c>
      <c r="B8" s="14" t="s">
        <v>264</v>
      </c>
      <c r="C8" s="16" t="s">
        <v>216</v>
      </c>
      <c r="D8" s="15">
        <v>1</v>
      </c>
      <c r="E8" s="30">
        <v>36480000</v>
      </c>
      <c r="F8" s="29">
        <f>'1. Parámetros'!$B$4</f>
        <v>36</v>
      </c>
      <c r="G8" s="31">
        <f>D8*E8*F8</f>
        <v>1313280000</v>
      </c>
      <c r="H8" s="4" t="s">
        <v>265</v>
      </c>
    </row>
    <row r="9" spans="1:12" ht="31.5" customHeight="1" x14ac:dyDescent="0.25">
      <c r="A9" s="28">
        <v>4</v>
      </c>
      <c r="B9" s="14" t="s">
        <v>266</v>
      </c>
      <c r="C9" s="16" t="s">
        <v>193</v>
      </c>
      <c r="D9" s="15">
        <v>1</v>
      </c>
      <c r="E9" s="30">
        <v>60040000</v>
      </c>
      <c r="F9" s="29">
        <f>'1. Parámetros'!$B$4</f>
        <v>36</v>
      </c>
      <c r="G9" s="31">
        <f>D9*E9*F9</f>
        <v>2161440000</v>
      </c>
      <c r="H9" s="4" t="s">
        <v>267</v>
      </c>
    </row>
    <row r="10" spans="1:12" ht="31.5" customHeight="1" x14ac:dyDescent="0.25">
      <c r="A10" s="28">
        <v>5</v>
      </c>
      <c r="B10" s="14" t="s">
        <v>268</v>
      </c>
      <c r="C10" s="16" t="s">
        <v>216</v>
      </c>
      <c r="D10" s="15">
        <v>1</v>
      </c>
      <c r="E10" s="30">
        <v>14440000</v>
      </c>
      <c r="F10" s="29">
        <f>'1. Parámetros'!$B$4</f>
        <v>36</v>
      </c>
      <c r="G10" s="31">
        <f>D10*E10*F10</f>
        <v>519840000</v>
      </c>
      <c r="H10" s="4" t="s">
        <v>269</v>
      </c>
    </row>
    <row r="11" spans="1:12" x14ac:dyDescent="0.25">
      <c r="A11" s="65" t="s">
        <v>270</v>
      </c>
      <c r="B11" s="65"/>
      <c r="C11" s="65"/>
      <c r="D11" s="65"/>
      <c r="E11" s="65"/>
      <c r="F11" s="65"/>
      <c r="G11" s="7">
        <f>SUM(G6:G10)</f>
        <v>27934560000</v>
      </c>
      <c r="H11" s="32"/>
    </row>
    <row r="13" spans="1:12" ht="15" customHeight="1" x14ac:dyDescent="0.25">
      <c r="A13" s="69" t="s">
        <v>271</v>
      </c>
      <c r="B13" s="69"/>
      <c r="C13" s="69"/>
      <c r="D13" s="69"/>
      <c r="E13" s="69"/>
      <c r="F13" s="69"/>
      <c r="G13" s="69"/>
      <c r="H13" s="69"/>
    </row>
    <row r="14" spans="1:12" ht="31.5" customHeight="1" x14ac:dyDescent="0.25">
      <c r="A14" s="28">
        <v>1</v>
      </c>
      <c r="B14" s="14" t="s">
        <v>272</v>
      </c>
      <c r="C14" s="16" t="s">
        <v>273</v>
      </c>
      <c r="D14" s="29">
        <f>'1. Parámetros'!$B$18</f>
        <v>31</v>
      </c>
      <c r="E14" s="30">
        <v>22800000</v>
      </c>
      <c r="F14" s="15">
        <v>1</v>
      </c>
      <c r="G14" s="31">
        <f t="shared" ref="G14:G19" si="0">D14*E14*F14</f>
        <v>706800000</v>
      </c>
      <c r="H14" s="4" t="s">
        <v>274</v>
      </c>
    </row>
    <row r="15" spans="1:12" ht="31.5" customHeight="1" x14ac:dyDescent="0.25">
      <c r="A15" s="28">
        <v>2</v>
      </c>
      <c r="B15" s="14" t="s">
        <v>275</v>
      </c>
      <c r="C15" s="16" t="s">
        <v>273</v>
      </c>
      <c r="D15" s="29">
        <f>'1. Parámetros'!$B$19</f>
        <v>7</v>
      </c>
      <c r="E15" s="30">
        <v>26600000</v>
      </c>
      <c r="F15" s="15">
        <v>1</v>
      </c>
      <c r="G15" s="31">
        <f t="shared" si="0"/>
        <v>186200000</v>
      </c>
      <c r="H15" s="4" t="s">
        <v>276</v>
      </c>
    </row>
    <row r="16" spans="1:12" ht="31.5" customHeight="1" x14ac:dyDescent="0.25">
      <c r="A16" s="28">
        <v>3</v>
      </c>
      <c r="B16" s="14" t="s">
        <v>277</v>
      </c>
      <c r="C16" s="16" t="s">
        <v>273</v>
      </c>
      <c r="D16" s="29">
        <f>'1. Parámetros'!$B$20</f>
        <v>3</v>
      </c>
      <c r="E16" s="30">
        <v>36480000</v>
      </c>
      <c r="F16" s="15">
        <v>1</v>
      </c>
      <c r="G16" s="31">
        <f t="shared" si="0"/>
        <v>109440000</v>
      </c>
      <c r="H16" s="4" t="s">
        <v>278</v>
      </c>
    </row>
    <row r="17" spans="1:8" ht="31.5" customHeight="1" x14ac:dyDescent="0.25">
      <c r="A17" s="28">
        <v>4</v>
      </c>
      <c r="B17" s="14" t="s">
        <v>279</v>
      </c>
      <c r="C17" s="16" t="s">
        <v>273</v>
      </c>
      <c r="D17" s="29">
        <f>'1. Parámetros'!$B$21</f>
        <v>45</v>
      </c>
      <c r="E17" s="30">
        <v>22040000</v>
      </c>
      <c r="F17" s="15">
        <v>1</v>
      </c>
      <c r="G17" s="31">
        <f t="shared" si="0"/>
        <v>991800000</v>
      </c>
      <c r="H17" s="4" t="s">
        <v>280</v>
      </c>
    </row>
    <row r="18" spans="1:8" ht="31.5" customHeight="1" x14ac:dyDescent="0.25">
      <c r="A18" s="28">
        <v>5</v>
      </c>
      <c r="B18" s="14" t="s">
        <v>281</v>
      </c>
      <c r="C18" s="16" t="s">
        <v>184</v>
      </c>
      <c r="D18" s="29">
        <f>'1. Parámetros'!$B$22</f>
        <v>7</v>
      </c>
      <c r="E18" s="30">
        <v>7524000</v>
      </c>
      <c r="F18" s="15">
        <v>1</v>
      </c>
      <c r="G18" s="31">
        <f t="shared" si="0"/>
        <v>52668000</v>
      </c>
      <c r="H18" s="4" t="s">
        <v>282</v>
      </c>
    </row>
    <row r="19" spans="1:8" ht="31.5" customHeight="1" x14ac:dyDescent="0.25">
      <c r="A19" s="28">
        <v>6</v>
      </c>
      <c r="B19" s="14" t="s">
        <v>283</v>
      </c>
      <c r="C19" s="16" t="s">
        <v>284</v>
      </c>
      <c r="D19" s="15">
        <v>86</v>
      </c>
      <c r="E19" s="30">
        <v>4180000</v>
      </c>
      <c r="F19" s="15">
        <v>1</v>
      </c>
      <c r="G19" s="31">
        <f t="shared" si="0"/>
        <v>359480000</v>
      </c>
      <c r="H19" s="4" t="s">
        <v>285</v>
      </c>
    </row>
    <row r="20" spans="1:8" x14ac:dyDescent="0.25">
      <c r="A20" s="65" t="s">
        <v>286</v>
      </c>
      <c r="B20" s="65"/>
      <c r="C20" s="65"/>
      <c r="D20" s="65"/>
      <c r="E20" s="65"/>
      <c r="F20" s="65"/>
      <c r="G20" s="7">
        <f>SUM(G14:G19)</f>
        <v>2406388000</v>
      </c>
      <c r="H20" s="32"/>
    </row>
    <row r="22" spans="1:8" ht="30" customHeight="1" x14ac:dyDescent="0.25">
      <c r="A22" s="66" t="s">
        <v>287</v>
      </c>
      <c r="B22" s="66"/>
      <c r="C22" s="66"/>
      <c r="D22" s="66"/>
      <c r="E22" s="66"/>
      <c r="F22" s="66"/>
      <c r="G22" s="33">
        <f>G11+G20</f>
        <v>30340948000</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21"/>
  <sheetViews>
    <sheetView topLeftCell="A12" zoomScaleNormal="100" workbookViewId="0">
      <selection activeCell="J20" sqref="J1:L20"/>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11" ht="30" customHeight="1" x14ac:dyDescent="0.25">
      <c r="A1" s="67" t="s">
        <v>288</v>
      </c>
      <c r="B1" s="67"/>
      <c r="C1" s="67"/>
      <c r="D1" s="67"/>
      <c r="E1" s="67"/>
      <c r="F1" s="67"/>
      <c r="G1" s="67"/>
      <c r="H1" s="67"/>
    </row>
    <row r="2" spans="1:11" ht="15" customHeight="1" x14ac:dyDescent="0.25">
      <c r="A2" s="68" t="s">
        <v>289</v>
      </c>
      <c r="B2" s="68"/>
      <c r="C2" s="68"/>
      <c r="D2" s="68"/>
      <c r="E2" s="68"/>
      <c r="F2" s="68"/>
      <c r="G2" s="68"/>
      <c r="H2" s="68"/>
    </row>
    <row r="4" spans="1:11" ht="37.5" customHeight="1" x14ac:dyDescent="0.25">
      <c r="A4" s="1" t="s">
        <v>3</v>
      </c>
      <c r="B4" s="1" t="s">
        <v>160</v>
      </c>
      <c r="C4" s="1" t="s">
        <v>59</v>
      </c>
      <c r="D4" s="1" t="s">
        <v>161</v>
      </c>
      <c r="E4" s="1" t="s">
        <v>162</v>
      </c>
      <c r="F4" s="1" t="s">
        <v>163</v>
      </c>
      <c r="G4" s="1" t="s">
        <v>164</v>
      </c>
      <c r="H4" s="1" t="s">
        <v>165</v>
      </c>
    </row>
    <row r="5" spans="1:11" ht="15" customHeight="1" x14ac:dyDescent="0.25">
      <c r="A5" s="69" t="s">
        <v>290</v>
      </c>
      <c r="B5" s="69"/>
      <c r="C5" s="69"/>
      <c r="D5" s="69"/>
      <c r="E5" s="69"/>
      <c r="F5" s="69"/>
      <c r="G5" s="69"/>
      <c r="H5" s="69"/>
      <c r="K5" s="39"/>
    </row>
    <row r="6" spans="1:11" ht="31.5" customHeight="1" x14ac:dyDescent="0.25">
      <c r="A6" s="28">
        <v>1</v>
      </c>
      <c r="B6" s="14" t="s">
        <v>291</v>
      </c>
      <c r="C6" s="16" t="s">
        <v>292</v>
      </c>
      <c r="D6" s="29">
        <f>'1. Parámetros'!$B$24</f>
        <v>6000</v>
      </c>
      <c r="E6" s="30">
        <v>1406000</v>
      </c>
      <c r="F6" s="15">
        <v>1</v>
      </c>
      <c r="G6" s="31">
        <f t="shared" ref="G6:G13" si="0">D6*E6*F6</f>
        <v>8436000000</v>
      </c>
      <c r="H6" s="4" t="s">
        <v>293</v>
      </c>
    </row>
    <row r="7" spans="1:11" ht="31.5" customHeight="1" x14ac:dyDescent="0.25">
      <c r="A7" s="28">
        <v>2</v>
      </c>
      <c r="B7" s="14" t="s">
        <v>294</v>
      </c>
      <c r="C7" s="16" t="s">
        <v>292</v>
      </c>
      <c r="D7" s="29">
        <f>'1. Parámetros'!$B$25</f>
        <v>1000</v>
      </c>
      <c r="E7" s="30">
        <v>646000</v>
      </c>
      <c r="F7" s="15">
        <v>1</v>
      </c>
      <c r="G7" s="31">
        <f t="shared" si="0"/>
        <v>646000000</v>
      </c>
      <c r="H7" s="4" t="s">
        <v>295</v>
      </c>
    </row>
    <row r="8" spans="1:11" ht="31.5" customHeight="1" x14ac:dyDescent="0.25">
      <c r="A8" s="28">
        <v>3</v>
      </c>
      <c r="B8" s="14" t="s">
        <v>296</v>
      </c>
      <c r="C8" s="16" t="s">
        <v>292</v>
      </c>
      <c r="D8" s="15">
        <v>800</v>
      </c>
      <c r="E8" s="30">
        <v>342000</v>
      </c>
      <c r="F8" s="15">
        <v>1</v>
      </c>
      <c r="G8" s="31">
        <f t="shared" si="0"/>
        <v>273600000</v>
      </c>
      <c r="H8" s="4" t="s">
        <v>297</v>
      </c>
    </row>
    <row r="9" spans="1:11" ht="31.5" customHeight="1" x14ac:dyDescent="0.25">
      <c r="A9" s="28">
        <v>4</v>
      </c>
      <c r="B9" s="14" t="s">
        <v>298</v>
      </c>
      <c r="C9" s="16" t="s">
        <v>292</v>
      </c>
      <c r="D9" s="15">
        <v>500</v>
      </c>
      <c r="E9" s="30">
        <v>144400</v>
      </c>
      <c r="F9" s="15">
        <v>1</v>
      </c>
      <c r="G9" s="31">
        <f t="shared" si="0"/>
        <v>72200000</v>
      </c>
      <c r="H9" s="4" t="s">
        <v>297</v>
      </c>
    </row>
    <row r="10" spans="1:11" ht="31.5" customHeight="1" x14ac:dyDescent="0.25">
      <c r="A10" s="28">
        <v>5</v>
      </c>
      <c r="B10" s="14" t="s">
        <v>299</v>
      </c>
      <c r="C10" s="16" t="s">
        <v>300</v>
      </c>
      <c r="D10" s="15">
        <v>120</v>
      </c>
      <c r="E10" s="30">
        <v>4940000</v>
      </c>
      <c r="F10" s="15">
        <v>1</v>
      </c>
      <c r="G10" s="31">
        <f t="shared" si="0"/>
        <v>592800000</v>
      </c>
      <c r="H10" s="4" t="s">
        <v>301</v>
      </c>
    </row>
    <row r="11" spans="1:11" ht="31.5" customHeight="1" x14ac:dyDescent="0.25">
      <c r="A11" s="28">
        <v>6</v>
      </c>
      <c r="B11" s="14" t="s">
        <v>302</v>
      </c>
      <c r="C11" s="16" t="s">
        <v>59</v>
      </c>
      <c r="D11" s="15">
        <v>80</v>
      </c>
      <c r="E11" s="30">
        <v>4180000</v>
      </c>
      <c r="F11" s="15">
        <v>1</v>
      </c>
      <c r="G11" s="31">
        <f t="shared" si="0"/>
        <v>334400000</v>
      </c>
      <c r="H11" s="4" t="s">
        <v>303</v>
      </c>
    </row>
    <row r="12" spans="1:11" ht="31.5" customHeight="1" x14ac:dyDescent="0.25">
      <c r="A12" s="28">
        <v>7</v>
      </c>
      <c r="B12" s="14" t="s">
        <v>304</v>
      </c>
      <c r="C12" s="16" t="s">
        <v>305</v>
      </c>
      <c r="D12" s="15">
        <v>150</v>
      </c>
      <c r="E12" s="30">
        <v>1900000</v>
      </c>
      <c r="F12" s="15">
        <v>1</v>
      </c>
      <c r="G12" s="31">
        <f t="shared" si="0"/>
        <v>285000000</v>
      </c>
      <c r="H12" s="4" t="s">
        <v>306</v>
      </c>
    </row>
    <row r="13" spans="1:11" ht="31.5" customHeight="1" x14ac:dyDescent="0.25">
      <c r="A13" s="28">
        <v>8</v>
      </c>
      <c r="B13" s="14" t="s">
        <v>307</v>
      </c>
      <c r="C13" s="16" t="s">
        <v>305</v>
      </c>
      <c r="D13" s="15">
        <v>250</v>
      </c>
      <c r="E13" s="30">
        <v>684000</v>
      </c>
      <c r="F13" s="15">
        <v>1</v>
      </c>
      <c r="G13" s="31">
        <f t="shared" si="0"/>
        <v>171000000</v>
      </c>
      <c r="H13" s="4" t="s">
        <v>308</v>
      </c>
    </row>
    <row r="14" spans="1:11" x14ac:dyDescent="0.25">
      <c r="A14" s="65" t="s">
        <v>309</v>
      </c>
      <c r="B14" s="65"/>
      <c r="C14" s="65"/>
      <c r="D14" s="65"/>
      <c r="E14" s="65"/>
      <c r="F14" s="65"/>
      <c r="G14" s="7">
        <f>SUM(G6:G13)</f>
        <v>10811000000</v>
      </c>
      <c r="H14" s="32"/>
    </row>
    <row r="16" spans="1:11" ht="15" customHeight="1" x14ac:dyDescent="0.25">
      <c r="A16" s="69" t="s">
        <v>310</v>
      </c>
      <c r="B16" s="69"/>
      <c r="C16" s="69"/>
      <c r="D16" s="69"/>
      <c r="E16" s="69"/>
      <c r="F16" s="69"/>
      <c r="G16" s="69"/>
      <c r="H16" s="69"/>
    </row>
    <row r="17" spans="1:8" ht="31.5" customHeight="1" x14ac:dyDescent="0.25">
      <c r="A17" s="28">
        <v>1</v>
      </c>
      <c r="B17" s="14" t="s">
        <v>311</v>
      </c>
      <c r="C17" s="16" t="s">
        <v>193</v>
      </c>
      <c r="D17" s="15">
        <v>1</v>
      </c>
      <c r="E17" s="30">
        <v>11400000</v>
      </c>
      <c r="F17" s="15">
        <v>36</v>
      </c>
      <c r="G17" s="31">
        <f>D17*E17*F17</f>
        <v>410400000</v>
      </c>
      <c r="H17" s="4" t="s">
        <v>312</v>
      </c>
    </row>
    <row r="18" spans="1:8" ht="31.5" customHeight="1" x14ac:dyDescent="0.25">
      <c r="A18" s="28">
        <v>2</v>
      </c>
      <c r="B18" s="14" t="s">
        <v>313</v>
      </c>
      <c r="C18" s="16" t="s">
        <v>314</v>
      </c>
      <c r="D18" s="15">
        <v>250</v>
      </c>
      <c r="E18" s="30">
        <v>342000</v>
      </c>
      <c r="F18" s="15">
        <v>1</v>
      </c>
      <c r="G18" s="31">
        <f>D18*E18*F18</f>
        <v>85500000</v>
      </c>
      <c r="H18" s="4" t="s">
        <v>315</v>
      </c>
    </row>
    <row r="19" spans="1:8" x14ac:dyDescent="0.25">
      <c r="A19" s="65" t="s">
        <v>316</v>
      </c>
      <c r="B19" s="65"/>
      <c r="C19" s="65"/>
      <c r="D19" s="65"/>
      <c r="E19" s="65"/>
      <c r="F19" s="65"/>
      <c r="G19" s="7">
        <f>SUM(G17:G18)</f>
        <v>495900000</v>
      </c>
      <c r="H19" s="32"/>
    </row>
    <row r="21" spans="1:8" ht="30" customHeight="1" x14ac:dyDescent="0.25">
      <c r="A21" s="66" t="s">
        <v>317</v>
      </c>
      <c r="B21" s="66"/>
      <c r="C21" s="66"/>
      <c r="D21" s="66"/>
      <c r="E21" s="66"/>
      <c r="F21" s="66"/>
      <c r="G21" s="33">
        <f>G14+G19</f>
        <v>11306900000</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54"/>
  <sheetViews>
    <sheetView topLeftCell="A44" zoomScaleNormal="100" workbookViewId="0">
      <selection activeCell="L54" sqref="L1:N54"/>
    </sheetView>
  </sheetViews>
  <sheetFormatPr baseColWidth="10" defaultColWidth="8.42578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s>
  <sheetData>
    <row r="1" spans="1:14" ht="30" customHeight="1" x14ac:dyDescent="0.25">
      <c r="A1" s="67" t="s">
        <v>318</v>
      </c>
      <c r="B1" s="67"/>
      <c r="C1" s="67"/>
      <c r="D1" s="67"/>
      <c r="E1" s="67"/>
      <c r="F1" s="67"/>
      <c r="G1" s="67"/>
      <c r="H1" s="67"/>
      <c r="I1" s="67"/>
      <c r="J1" s="67"/>
    </row>
    <row r="2" spans="1:14" ht="15" customHeight="1" x14ac:dyDescent="0.25">
      <c r="A2" s="68" t="s">
        <v>319</v>
      </c>
      <c r="B2" s="68"/>
      <c r="C2" s="68"/>
      <c r="D2" s="68"/>
      <c r="E2" s="68"/>
      <c r="F2" s="68"/>
      <c r="G2" s="68"/>
      <c r="H2" s="68"/>
      <c r="I2" s="68"/>
      <c r="J2" s="68"/>
    </row>
    <row r="4" spans="1:14" ht="39.75" customHeight="1" x14ac:dyDescent="0.25">
      <c r="A4" s="1" t="s">
        <v>3</v>
      </c>
      <c r="B4" s="1" t="s">
        <v>320</v>
      </c>
      <c r="C4" s="1" t="s">
        <v>321</v>
      </c>
      <c r="D4" s="1" t="s">
        <v>322</v>
      </c>
      <c r="E4" s="1" t="s">
        <v>323</v>
      </c>
      <c r="F4" s="1" t="s">
        <v>324</v>
      </c>
      <c r="G4" s="1" t="s">
        <v>325</v>
      </c>
      <c r="H4" s="1" t="s">
        <v>326</v>
      </c>
      <c r="I4" s="1" t="s">
        <v>163</v>
      </c>
      <c r="J4" s="1" t="s">
        <v>327</v>
      </c>
    </row>
    <row r="5" spans="1:14" ht="21.75" customHeight="1" x14ac:dyDescent="0.25">
      <c r="A5" s="70" t="s">
        <v>328</v>
      </c>
      <c r="B5" s="70"/>
      <c r="C5" s="70"/>
      <c r="D5" s="70"/>
      <c r="E5" s="70"/>
      <c r="F5" s="70"/>
      <c r="G5" s="70"/>
      <c r="H5" s="70"/>
      <c r="I5" s="70"/>
      <c r="J5" s="70"/>
      <c r="N5" s="39"/>
    </row>
    <row r="6" spans="1:14" ht="24.75" customHeight="1" x14ac:dyDescent="0.25">
      <c r="A6" s="28">
        <v>1</v>
      </c>
      <c r="B6" s="14" t="s">
        <v>329</v>
      </c>
      <c r="C6" s="2" t="s">
        <v>330</v>
      </c>
      <c r="D6" s="15">
        <v>1</v>
      </c>
      <c r="E6" s="18">
        <v>1</v>
      </c>
      <c r="F6" s="30">
        <v>20460000</v>
      </c>
      <c r="G6" s="37">
        <f>'1. Parámetros'!$B$28</f>
        <v>1.85</v>
      </c>
      <c r="H6" s="38">
        <f>D6*E6*F6*G6</f>
        <v>37851000</v>
      </c>
      <c r="I6" s="29">
        <f>'1. Parámetros'!$B$4</f>
        <v>36</v>
      </c>
      <c r="J6" s="31">
        <f>H6*I6</f>
        <v>1362636000</v>
      </c>
    </row>
    <row r="7" spans="1:14" ht="27" customHeight="1" x14ac:dyDescent="0.25">
      <c r="A7" s="28">
        <v>2</v>
      </c>
      <c r="B7" s="14" t="s">
        <v>331</v>
      </c>
      <c r="C7" s="2" t="s">
        <v>330</v>
      </c>
      <c r="D7" s="15">
        <v>1</v>
      </c>
      <c r="E7" s="18">
        <v>1</v>
      </c>
      <c r="F7" s="30">
        <v>20460000</v>
      </c>
      <c r="G7" s="37">
        <f>'1. Parámetros'!$B$28</f>
        <v>1.85</v>
      </c>
      <c r="H7" s="38">
        <f>D7*E7*F7*G7</f>
        <v>37851000</v>
      </c>
      <c r="I7" s="29">
        <f>'1. Parámetros'!$B$4</f>
        <v>36</v>
      </c>
      <c r="J7" s="31">
        <f>H7*I7</f>
        <v>1362636000</v>
      </c>
    </row>
    <row r="8" spans="1:14" x14ac:dyDescent="0.25">
      <c r="A8" s="28">
        <v>3</v>
      </c>
      <c r="B8" s="14" t="s">
        <v>332</v>
      </c>
      <c r="C8" s="2" t="s">
        <v>330</v>
      </c>
      <c r="D8" s="15">
        <v>1</v>
      </c>
      <c r="E8" s="18">
        <v>1</v>
      </c>
      <c r="F8" s="30">
        <v>17670000</v>
      </c>
      <c r="G8" s="37">
        <f>'1. Parámetros'!$B$28</f>
        <v>1.85</v>
      </c>
      <c r="H8" s="38">
        <f>D8*E8*F8*G8</f>
        <v>32689500</v>
      </c>
      <c r="I8" s="29">
        <f>'1. Parámetros'!$B$4</f>
        <v>36</v>
      </c>
      <c r="J8" s="31">
        <f>H8*I8</f>
        <v>1176822000</v>
      </c>
    </row>
    <row r="9" spans="1:14" ht="24.75" customHeight="1" x14ac:dyDescent="0.25">
      <c r="A9" s="28">
        <v>4</v>
      </c>
      <c r="B9" s="14" t="s">
        <v>333</v>
      </c>
      <c r="C9" s="2" t="s">
        <v>330</v>
      </c>
      <c r="D9" s="15">
        <v>1</v>
      </c>
      <c r="E9" s="18">
        <v>1</v>
      </c>
      <c r="F9" s="30">
        <v>16739999.999999998</v>
      </c>
      <c r="G9" s="37">
        <f>'1. Parámetros'!$B$28</f>
        <v>1.85</v>
      </c>
      <c r="H9" s="38">
        <f>D9*E9*F9*G9</f>
        <v>30968999.999999996</v>
      </c>
      <c r="I9" s="29">
        <f>'1. Parámetros'!$B$27</f>
        <v>10</v>
      </c>
      <c r="J9" s="31">
        <f>H9*I9</f>
        <v>309689999.99999994</v>
      </c>
    </row>
    <row r="10" spans="1:14" ht="21.75" customHeight="1" x14ac:dyDescent="0.25">
      <c r="A10" s="70" t="s">
        <v>334</v>
      </c>
      <c r="B10" s="70"/>
      <c r="C10" s="70"/>
      <c r="D10" s="70"/>
      <c r="E10" s="70"/>
      <c r="F10" s="70"/>
      <c r="G10" s="70"/>
      <c r="H10" s="70"/>
      <c r="I10" s="70"/>
      <c r="J10" s="70"/>
    </row>
    <row r="11" spans="1:14" x14ac:dyDescent="0.25">
      <c r="A11" s="28">
        <v>5</v>
      </c>
      <c r="B11" s="14" t="s">
        <v>335</v>
      </c>
      <c r="C11" s="2" t="s">
        <v>336</v>
      </c>
      <c r="D11" s="15">
        <v>1</v>
      </c>
      <c r="E11" s="18">
        <v>1</v>
      </c>
      <c r="F11" s="30">
        <v>8369999.9999999991</v>
      </c>
      <c r="G11" s="37">
        <f>'1. Parámetros'!$B$28</f>
        <v>1.85</v>
      </c>
      <c r="H11" s="38">
        <f t="shared" ref="H11:H16" si="0">D11*E11*F11*G11</f>
        <v>15484499.999999998</v>
      </c>
      <c r="I11" s="29">
        <f>'1. Parámetros'!$B$4</f>
        <v>36</v>
      </c>
      <c r="J11" s="31">
        <f t="shared" ref="J11:J16" si="1">H11*I11</f>
        <v>557441999.99999988</v>
      </c>
    </row>
    <row r="12" spans="1:14" x14ac:dyDescent="0.25">
      <c r="A12" s="28">
        <v>6</v>
      </c>
      <c r="B12" s="14" t="s">
        <v>337</v>
      </c>
      <c r="C12" s="2" t="s">
        <v>336</v>
      </c>
      <c r="D12" s="15">
        <v>1</v>
      </c>
      <c r="E12" s="18">
        <v>1</v>
      </c>
      <c r="F12" s="30">
        <v>8369999.9999999991</v>
      </c>
      <c r="G12" s="37">
        <f>'1. Parámetros'!$B$28</f>
        <v>1.85</v>
      </c>
      <c r="H12" s="38">
        <f t="shared" si="0"/>
        <v>15484499.999999998</v>
      </c>
      <c r="I12" s="29">
        <f>'1. Parámetros'!$B$4</f>
        <v>36</v>
      </c>
      <c r="J12" s="31">
        <f t="shared" si="1"/>
        <v>557441999.99999988</v>
      </c>
    </row>
    <row r="13" spans="1:14" x14ac:dyDescent="0.25">
      <c r="A13" s="28">
        <v>7</v>
      </c>
      <c r="B13" s="14" t="s">
        <v>338</v>
      </c>
      <c r="C13" s="2" t="s">
        <v>336</v>
      </c>
      <c r="D13" s="15">
        <v>1</v>
      </c>
      <c r="E13" s="18">
        <v>1</v>
      </c>
      <c r="F13" s="30">
        <v>8369999.9999999991</v>
      </c>
      <c r="G13" s="37">
        <f>'1. Parámetros'!$B$28</f>
        <v>1.85</v>
      </c>
      <c r="H13" s="38">
        <f t="shared" si="0"/>
        <v>15484499.999999998</v>
      </c>
      <c r="I13" s="29">
        <f>'1. Parámetros'!$B$4</f>
        <v>36</v>
      </c>
      <c r="J13" s="31">
        <f t="shared" si="1"/>
        <v>557441999.99999988</v>
      </c>
    </row>
    <row r="14" spans="1:14" ht="24.75" customHeight="1" x14ac:dyDescent="0.25">
      <c r="A14" s="28">
        <v>8</v>
      </c>
      <c r="B14" s="14" t="s">
        <v>339</v>
      </c>
      <c r="C14" s="2" t="s">
        <v>336</v>
      </c>
      <c r="D14" s="15">
        <v>2</v>
      </c>
      <c r="E14" s="18">
        <v>1</v>
      </c>
      <c r="F14" s="30">
        <v>12090000</v>
      </c>
      <c r="G14" s="37">
        <f>'1. Parámetros'!$B$28</f>
        <v>1.85</v>
      </c>
      <c r="H14" s="38">
        <f t="shared" si="0"/>
        <v>44733000</v>
      </c>
      <c r="I14" s="29">
        <f>'1. Parámetros'!$B$4</f>
        <v>36</v>
      </c>
      <c r="J14" s="31">
        <f t="shared" si="1"/>
        <v>1610388000</v>
      </c>
    </row>
    <row r="15" spans="1:14" ht="24.75" customHeight="1" x14ac:dyDescent="0.25">
      <c r="A15" s="28">
        <v>9</v>
      </c>
      <c r="B15" s="14" t="s">
        <v>340</v>
      </c>
      <c r="C15" s="2" t="s">
        <v>336</v>
      </c>
      <c r="D15" s="15">
        <v>1</v>
      </c>
      <c r="E15" s="18">
        <v>1</v>
      </c>
      <c r="F15" s="30">
        <v>13020000</v>
      </c>
      <c r="G15" s="37">
        <f>'1. Parámetros'!$B$28</f>
        <v>1.85</v>
      </c>
      <c r="H15" s="38">
        <f t="shared" si="0"/>
        <v>24087000</v>
      </c>
      <c r="I15" s="29">
        <f>'1. Parámetros'!$B$4</f>
        <v>36</v>
      </c>
      <c r="J15" s="31">
        <f t="shared" si="1"/>
        <v>867132000</v>
      </c>
    </row>
    <row r="16" spans="1:14" x14ac:dyDescent="0.25">
      <c r="A16" s="28">
        <v>10</v>
      </c>
      <c r="B16" s="36" t="s">
        <v>341</v>
      </c>
      <c r="C16" s="2" t="s">
        <v>336</v>
      </c>
      <c r="D16" s="15">
        <v>4</v>
      </c>
      <c r="E16" s="18">
        <v>1</v>
      </c>
      <c r="F16" s="30">
        <v>6510000</v>
      </c>
      <c r="G16" s="37">
        <f>'1. Parámetros'!$B$28</f>
        <v>1.85</v>
      </c>
      <c r="H16" s="38">
        <f t="shared" si="0"/>
        <v>48174000</v>
      </c>
      <c r="I16" s="29">
        <f>'1. Parámetros'!$B$4</f>
        <v>36</v>
      </c>
      <c r="J16" s="31">
        <f t="shared" si="1"/>
        <v>1734264000</v>
      </c>
    </row>
    <row r="17" spans="1:10" ht="21.75" customHeight="1" x14ac:dyDescent="0.25">
      <c r="A17" s="70" t="s">
        <v>342</v>
      </c>
      <c r="B17" s="70"/>
      <c r="C17" s="70"/>
      <c r="D17" s="70"/>
      <c r="E17" s="70"/>
      <c r="F17" s="70"/>
      <c r="G17" s="70"/>
      <c r="H17" s="70"/>
      <c r="I17" s="70"/>
      <c r="J17" s="70"/>
    </row>
    <row r="18" spans="1:10" ht="24.75" customHeight="1" x14ac:dyDescent="0.25">
      <c r="A18" s="28">
        <v>11</v>
      </c>
      <c r="B18" s="14" t="s">
        <v>343</v>
      </c>
      <c r="C18" s="2" t="s">
        <v>344</v>
      </c>
      <c r="D18" s="15">
        <v>1</v>
      </c>
      <c r="E18" s="18">
        <v>1</v>
      </c>
      <c r="F18" s="30">
        <v>20460000</v>
      </c>
      <c r="G18" s="37">
        <f>'1. Parámetros'!$B$28</f>
        <v>1.85</v>
      </c>
      <c r="H18" s="38">
        <f t="shared" ref="H18:H30" si="2">D18*E18*F18*G18</f>
        <v>37851000</v>
      </c>
      <c r="I18" s="29">
        <f>'1. Parámetros'!$B$4</f>
        <v>36</v>
      </c>
      <c r="J18" s="31">
        <f t="shared" ref="J18:J30" si="3">H18*I18</f>
        <v>1362636000</v>
      </c>
    </row>
    <row r="19" spans="1:10" x14ac:dyDescent="0.25">
      <c r="A19" s="28">
        <v>12</v>
      </c>
      <c r="B19" s="14" t="s">
        <v>345</v>
      </c>
      <c r="C19" s="2" t="s">
        <v>344</v>
      </c>
      <c r="D19" s="15">
        <v>1</v>
      </c>
      <c r="E19" s="18">
        <v>1</v>
      </c>
      <c r="F19" s="30">
        <v>16739999.999999998</v>
      </c>
      <c r="G19" s="37">
        <f>'1. Parámetros'!$B$28</f>
        <v>1.85</v>
      </c>
      <c r="H19" s="38">
        <f t="shared" si="2"/>
        <v>30968999.999999996</v>
      </c>
      <c r="I19" s="29">
        <f>'1. Parámetros'!$B$4</f>
        <v>36</v>
      </c>
      <c r="J19" s="31">
        <f t="shared" si="3"/>
        <v>1114883999.9999998</v>
      </c>
    </row>
    <row r="20" spans="1:10" x14ac:dyDescent="0.25">
      <c r="A20" s="28">
        <v>13</v>
      </c>
      <c r="B20" s="36" t="s">
        <v>346</v>
      </c>
      <c r="C20" s="2" t="s">
        <v>344</v>
      </c>
      <c r="D20" s="15">
        <v>6</v>
      </c>
      <c r="E20" s="18">
        <v>1</v>
      </c>
      <c r="F20" s="30">
        <v>6974999.9999999991</v>
      </c>
      <c r="G20" s="37">
        <f>'1. Parámetros'!$B$28</f>
        <v>1.85</v>
      </c>
      <c r="H20" s="38">
        <f t="shared" si="2"/>
        <v>77422499.999999985</v>
      </c>
      <c r="I20" s="29">
        <f>'1. Parámetros'!$B$4</f>
        <v>36</v>
      </c>
      <c r="J20" s="31">
        <f t="shared" si="3"/>
        <v>2787209999.9999995</v>
      </c>
    </row>
    <row r="21" spans="1:10" ht="24.75" customHeight="1" x14ac:dyDescent="0.25">
      <c r="A21" s="28">
        <v>14</v>
      </c>
      <c r="B21" s="36" t="s">
        <v>347</v>
      </c>
      <c r="C21" s="2" t="s">
        <v>344</v>
      </c>
      <c r="D21" s="15">
        <v>4</v>
      </c>
      <c r="E21" s="18">
        <v>1</v>
      </c>
      <c r="F21" s="30">
        <v>8835000</v>
      </c>
      <c r="G21" s="37">
        <f>'1. Parámetros'!$B$28</f>
        <v>1.85</v>
      </c>
      <c r="H21" s="38">
        <f t="shared" si="2"/>
        <v>65379000</v>
      </c>
      <c r="I21" s="29">
        <f>'1. Parámetros'!$B$4</f>
        <v>36</v>
      </c>
      <c r="J21" s="31">
        <f t="shared" si="3"/>
        <v>2353644000</v>
      </c>
    </row>
    <row r="22" spans="1:10" ht="15" customHeight="1" x14ac:dyDescent="0.25">
      <c r="A22" s="28">
        <v>15</v>
      </c>
      <c r="B22" s="14" t="s">
        <v>348</v>
      </c>
      <c r="C22" s="2" t="s">
        <v>344</v>
      </c>
      <c r="D22" s="15">
        <v>2</v>
      </c>
      <c r="E22" s="18">
        <v>1</v>
      </c>
      <c r="F22" s="30">
        <v>11020500</v>
      </c>
      <c r="G22" s="37">
        <f>'1. Parámetros'!$B$28</f>
        <v>1.85</v>
      </c>
      <c r="H22" s="38">
        <f t="shared" si="2"/>
        <v>40775850</v>
      </c>
      <c r="I22" s="29">
        <f>'1. Parámetros'!$B$4</f>
        <v>36</v>
      </c>
      <c r="J22" s="31">
        <f t="shared" si="3"/>
        <v>1467930600</v>
      </c>
    </row>
    <row r="23" spans="1:10" ht="24.75" customHeight="1" x14ac:dyDescent="0.25">
      <c r="A23" s="28">
        <v>16</v>
      </c>
      <c r="B23" s="36" t="s">
        <v>349</v>
      </c>
      <c r="C23" s="2" t="s">
        <v>344</v>
      </c>
      <c r="D23" s="15">
        <v>1</v>
      </c>
      <c r="E23" s="18">
        <v>1</v>
      </c>
      <c r="F23" s="30">
        <v>12555000</v>
      </c>
      <c r="G23" s="37">
        <f>'1. Parámetros'!$B$28</f>
        <v>1.85</v>
      </c>
      <c r="H23" s="38">
        <f t="shared" si="2"/>
        <v>23226750</v>
      </c>
      <c r="I23" s="29">
        <f>'1. Parámetros'!$B$4</f>
        <v>36</v>
      </c>
      <c r="J23" s="31">
        <f t="shared" si="3"/>
        <v>836163000</v>
      </c>
    </row>
    <row r="24" spans="1:10" ht="24" customHeight="1" x14ac:dyDescent="0.25">
      <c r="A24" s="28">
        <v>17</v>
      </c>
      <c r="B24" s="36" t="s">
        <v>350</v>
      </c>
      <c r="C24" s="2" t="s">
        <v>344</v>
      </c>
      <c r="D24" s="15">
        <v>1</v>
      </c>
      <c r="E24" s="18">
        <v>1</v>
      </c>
      <c r="F24" s="30">
        <v>7439999.9999999991</v>
      </c>
      <c r="G24" s="37">
        <f>'1. Parámetros'!$B$28</f>
        <v>1.85</v>
      </c>
      <c r="H24" s="38">
        <f t="shared" si="2"/>
        <v>13763999.999999998</v>
      </c>
      <c r="I24" s="29">
        <f>'1. Parámetros'!$B$4</f>
        <v>36</v>
      </c>
      <c r="J24" s="31">
        <f t="shared" si="3"/>
        <v>495503999.99999994</v>
      </c>
    </row>
    <row r="25" spans="1:10" ht="15" customHeight="1" x14ac:dyDescent="0.25">
      <c r="A25" s="28">
        <v>18</v>
      </c>
      <c r="B25" s="36" t="s">
        <v>351</v>
      </c>
      <c r="C25" s="2" t="s">
        <v>344</v>
      </c>
      <c r="D25" s="15">
        <v>1</v>
      </c>
      <c r="E25" s="18">
        <v>1</v>
      </c>
      <c r="F25" s="30">
        <v>11160000</v>
      </c>
      <c r="G25" s="37">
        <f>'1. Parámetros'!$B$28</f>
        <v>1.85</v>
      </c>
      <c r="H25" s="38">
        <f t="shared" si="2"/>
        <v>20646000</v>
      </c>
      <c r="I25" s="29">
        <f>'1. Parámetros'!$B$4</f>
        <v>36</v>
      </c>
      <c r="J25" s="31">
        <f t="shared" si="3"/>
        <v>743256000</v>
      </c>
    </row>
    <row r="26" spans="1:10" x14ac:dyDescent="0.25">
      <c r="A26" s="28">
        <v>19</v>
      </c>
      <c r="B26" s="36" t="s">
        <v>352</v>
      </c>
      <c r="C26" s="2" t="s">
        <v>344</v>
      </c>
      <c r="D26" s="15">
        <v>1</v>
      </c>
      <c r="E26" s="18">
        <v>1</v>
      </c>
      <c r="F26" s="30">
        <v>11625000</v>
      </c>
      <c r="G26" s="37">
        <f>'1. Parámetros'!$B$28</f>
        <v>1.85</v>
      </c>
      <c r="H26" s="38">
        <f t="shared" si="2"/>
        <v>21506250</v>
      </c>
      <c r="I26" s="29">
        <f>'1. Parámetros'!$B$4</f>
        <v>36</v>
      </c>
      <c r="J26" s="31">
        <f t="shared" si="3"/>
        <v>774225000</v>
      </c>
    </row>
    <row r="27" spans="1:10" x14ac:dyDescent="0.25">
      <c r="A27" s="28">
        <v>20</v>
      </c>
      <c r="B27" s="14" t="s">
        <v>353</v>
      </c>
      <c r="C27" s="2" t="s">
        <v>344</v>
      </c>
      <c r="D27" s="15">
        <v>1</v>
      </c>
      <c r="E27" s="18">
        <v>1</v>
      </c>
      <c r="F27" s="30">
        <v>11625000</v>
      </c>
      <c r="G27" s="37">
        <f>'1. Parámetros'!$B$28</f>
        <v>1.85</v>
      </c>
      <c r="H27" s="38">
        <f t="shared" si="2"/>
        <v>21506250</v>
      </c>
      <c r="I27" s="29">
        <f>'1. Parámetros'!$B$4</f>
        <v>36</v>
      </c>
      <c r="J27" s="31">
        <f t="shared" si="3"/>
        <v>774225000</v>
      </c>
    </row>
    <row r="28" spans="1:10" x14ac:dyDescent="0.25">
      <c r="A28" s="28">
        <v>21</v>
      </c>
      <c r="B28" s="14" t="s">
        <v>354</v>
      </c>
      <c r="C28" s="2" t="s">
        <v>344</v>
      </c>
      <c r="D28" s="15">
        <v>1</v>
      </c>
      <c r="E28" s="18">
        <v>1</v>
      </c>
      <c r="F28" s="30">
        <v>12555000</v>
      </c>
      <c r="G28" s="37">
        <f>'1. Parámetros'!$B$28</f>
        <v>1.85</v>
      </c>
      <c r="H28" s="38">
        <f t="shared" si="2"/>
        <v>23226750</v>
      </c>
      <c r="I28" s="29">
        <f>'1. Parámetros'!$B$4</f>
        <v>36</v>
      </c>
      <c r="J28" s="31">
        <f t="shared" si="3"/>
        <v>836163000</v>
      </c>
    </row>
    <row r="29" spans="1:10" ht="24.75" customHeight="1" x14ac:dyDescent="0.25">
      <c r="A29" s="28">
        <v>22</v>
      </c>
      <c r="B29" s="14" t="s">
        <v>355</v>
      </c>
      <c r="C29" s="2" t="s">
        <v>344</v>
      </c>
      <c r="D29" s="15">
        <v>1</v>
      </c>
      <c r="E29" s="18">
        <v>1</v>
      </c>
      <c r="F29" s="30">
        <v>11997000</v>
      </c>
      <c r="G29" s="37">
        <f>'1. Parámetros'!$B$28</f>
        <v>1.85</v>
      </c>
      <c r="H29" s="38">
        <f t="shared" si="2"/>
        <v>22194450</v>
      </c>
      <c r="I29" s="29">
        <f>'1. Parámetros'!$B$4</f>
        <v>36</v>
      </c>
      <c r="J29" s="31">
        <f t="shared" si="3"/>
        <v>799000200</v>
      </c>
    </row>
    <row r="30" spans="1:10" x14ac:dyDescent="0.25">
      <c r="A30" s="28">
        <v>23</v>
      </c>
      <c r="B30" s="14" t="s">
        <v>356</v>
      </c>
      <c r="C30" s="2" t="s">
        <v>344</v>
      </c>
      <c r="D30" s="15">
        <v>1</v>
      </c>
      <c r="E30" s="18">
        <v>0.5</v>
      </c>
      <c r="F30" s="30">
        <v>17205000</v>
      </c>
      <c r="G30" s="37">
        <f>'1. Parámetros'!$B$28</f>
        <v>1.85</v>
      </c>
      <c r="H30" s="38">
        <f t="shared" si="2"/>
        <v>15914625</v>
      </c>
      <c r="I30" s="29">
        <f>'1. Parámetros'!$B$4</f>
        <v>36</v>
      </c>
      <c r="J30" s="31">
        <f t="shared" si="3"/>
        <v>572926500</v>
      </c>
    </row>
    <row r="31" spans="1:10" ht="21.75" customHeight="1" x14ac:dyDescent="0.25">
      <c r="A31" s="70" t="s">
        <v>357</v>
      </c>
      <c r="B31" s="70"/>
      <c r="C31" s="70"/>
      <c r="D31" s="70"/>
      <c r="E31" s="70"/>
      <c r="F31" s="70"/>
      <c r="G31" s="70"/>
      <c r="H31" s="70"/>
      <c r="I31" s="70"/>
      <c r="J31" s="70"/>
    </row>
    <row r="32" spans="1:10" x14ac:dyDescent="0.25">
      <c r="A32" s="28">
        <v>24</v>
      </c>
      <c r="B32" s="14" t="s">
        <v>358</v>
      </c>
      <c r="C32" s="2" t="s">
        <v>359</v>
      </c>
      <c r="D32" s="15">
        <v>1</v>
      </c>
      <c r="E32" s="18">
        <v>1</v>
      </c>
      <c r="F32" s="30">
        <v>7904999.9999999991</v>
      </c>
      <c r="G32" s="37">
        <f>'1. Parámetros'!$B$28</f>
        <v>1.85</v>
      </c>
      <c r="H32" s="38">
        <f>D32*E32*F32*G32</f>
        <v>14624249.999999998</v>
      </c>
      <c r="I32" s="29">
        <f>'1. Parámetros'!$B$4</f>
        <v>36</v>
      </c>
      <c r="J32" s="31">
        <f>H32*I32</f>
        <v>526472999.99999994</v>
      </c>
    </row>
    <row r="33" spans="1:10" x14ac:dyDescent="0.25">
      <c r="A33" s="28">
        <v>25</v>
      </c>
      <c r="B33" s="14" t="s">
        <v>360</v>
      </c>
      <c r="C33" s="2" t="s">
        <v>359</v>
      </c>
      <c r="D33" s="15">
        <v>12</v>
      </c>
      <c r="E33" s="18">
        <v>1</v>
      </c>
      <c r="F33" s="30">
        <v>4510500</v>
      </c>
      <c r="G33" s="37">
        <f>'1. Parámetros'!$B$28</f>
        <v>1.85</v>
      </c>
      <c r="H33" s="38">
        <f>D33*E33*F33*G33</f>
        <v>100133100</v>
      </c>
      <c r="I33" s="29">
        <f>'1. Parámetros'!$B$4</f>
        <v>36</v>
      </c>
      <c r="J33" s="31">
        <f>H33*I33</f>
        <v>3604791600</v>
      </c>
    </row>
    <row r="34" spans="1:10" x14ac:dyDescent="0.25">
      <c r="A34" s="28">
        <v>26</v>
      </c>
      <c r="B34" s="14" t="s">
        <v>361</v>
      </c>
      <c r="C34" s="2" t="s">
        <v>359</v>
      </c>
      <c r="D34" s="15">
        <v>6</v>
      </c>
      <c r="E34" s="18">
        <v>1</v>
      </c>
      <c r="F34" s="30">
        <v>6370500</v>
      </c>
      <c r="G34" s="37">
        <f>'1. Parámetros'!$B$28</f>
        <v>1.85</v>
      </c>
      <c r="H34" s="38">
        <f>D34*E34*F34*G34</f>
        <v>70712550</v>
      </c>
      <c r="I34" s="29">
        <f>'1. Parámetros'!$B$4</f>
        <v>36</v>
      </c>
      <c r="J34" s="31">
        <f>H34*I34</f>
        <v>2545651800</v>
      </c>
    </row>
    <row r="35" spans="1:10" ht="24.75" customHeight="1" x14ac:dyDescent="0.25">
      <c r="A35" s="28">
        <v>27</v>
      </c>
      <c r="B35" s="14" t="s">
        <v>362</v>
      </c>
      <c r="C35" s="2" t="s">
        <v>359</v>
      </c>
      <c r="D35" s="15">
        <v>8</v>
      </c>
      <c r="E35" s="18">
        <v>1</v>
      </c>
      <c r="F35" s="30">
        <v>5115000</v>
      </c>
      <c r="G35" s="37">
        <f>'1. Parámetros'!$B$28</f>
        <v>1.85</v>
      </c>
      <c r="H35" s="38">
        <f>D35*E35*F35*G35</f>
        <v>75702000</v>
      </c>
      <c r="I35" s="29">
        <f>'1. Parámetros'!$B$4</f>
        <v>36</v>
      </c>
      <c r="J35" s="31">
        <f>H35*I35</f>
        <v>2725272000</v>
      </c>
    </row>
    <row r="36" spans="1:10" ht="24.75" customHeight="1" x14ac:dyDescent="0.25">
      <c r="A36" s="28">
        <v>28</v>
      </c>
      <c r="B36" s="14" t="s">
        <v>363</v>
      </c>
      <c r="C36" s="2" t="s">
        <v>359</v>
      </c>
      <c r="D36" s="15">
        <v>1</v>
      </c>
      <c r="E36" s="18">
        <v>1</v>
      </c>
      <c r="F36" s="30">
        <v>9300000</v>
      </c>
      <c r="G36" s="37">
        <f>'1. Parámetros'!$B$28</f>
        <v>1.85</v>
      </c>
      <c r="H36" s="38">
        <f>D36*E36*F36*G36</f>
        <v>17205000</v>
      </c>
      <c r="I36" s="29">
        <f>'1. Parámetros'!$B$4</f>
        <v>36</v>
      </c>
      <c r="J36" s="31">
        <f>H36*I36</f>
        <v>619380000</v>
      </c>
    </row>
    <row r="37" spans="1:10" ht="21.75" customHeight="1" x14ac:dyDescent="0.25">
      <c r="A37" s="70" t="s">
        <v>364</v>
      </c>
      <c r="B37" s="70"/>
      <c r="C37" s="70"/>
      <c r="D37" s="70"/>
      <c r="E37" s="70"/>
      <c r="F37" s="70"/>
      <c r="G37" s="70"/>
      <c r="H37" s="70"/>
      <c r="I37" s="70"/>
      <c r="J37" s="70"/>
    </row>
    <row r="38" spans="1:10" x14ac:dyDescent="0.25">
      <c r="A38" s="28">
        <v>29</v>
      </c>
      <c r="B38" s="14" t="s">
        <v>365</v>
      </c>
      <c r="C38" s="2" t="s">
        <v>366</v>
      </c>
      <c r="D38" s="15">
        <v>3</v>
      </c>
      <c r="E38" s="18">
        <v>1</v>
      </c>
      <c r="F38" s="30">
        <v>5115000</v>
      </c>
      <c r="G38" s="37">
        <f>'1. Parámetros'!$B$28</f>
        <v>1.85</v>
      </c>
      <c r="H38" s="38">
        <f>D38*E38*F38*G38</f>
        <v>28388250</v>
      </c>
      <c r="I38" s="29">
        <f>'1. Parámetros'!$B$4</f>
        <v>36</v>
      </c>
      <c r="J38" s="31">
        <f>H38*I38</f>
        <v>1021977000</v>
      </c>
    </row>
    <row r="39" spans="1:10" ht="24.75" customHeight="1" x14ac:dyDescent="0.25">
      <c r="A39" s="28">
        <v>30</v>
      </c>
      <c r="B39" s="14" t="s">
        <v>367</v>
      </c>
      <c r="C39" s="2" t="s">
        <v>366</v>
      </c>
      <c r="D39" s="15">
        <v>2</v>
      </c>
      <c r="E39" s="18">
        <v>1</v>
      </c>
      <c r="F39" s="30">
        <v>6510000</v>
      </c>
      <c r="G39" s="37">
        <f>'1. Parámetros'!$B$28</f>
        <v>1.85</v>
      </c>
      <c r="H39" s="38">
        <f>D39*E39*F39*G39</f>
        <v>24087000</v>
      </c>
      <c r="I39" s="29">
        <f>'1. Parámetros'!$B$4</f>
        <v>36</v>
      </c>
      <c r="J39" s="31">
        <f>H39*I39</f>
        <v>867132000</v>
      </c>
    </row>
    <row r="40" spans="1:10" ht="24.75" customHeight="1" x14ac:dyDescent="0.25">
      <c r="A40" s="28">
        <v>31</v>
      </c>
      <c r="B40" s="14" t="s">
        <v>368</v>
      </c>
      <c r="C40" s="2" t="s">
        <v>366</v>
      </c>
      <c r="D40" s="15">
        <v>1</v>
      </c>
      <c r="E40" s="18">
        <v>1</v>
      </c>
      <c r="F40" s="30">
        <v>9300000</v>
      </c>
      <c r="G40" s="37">
        <f>'1. Parámetros'!$B$28</f>
        <v>1.85</v>
      </c>
      <c r="H40" s="38">
        <f>D40*E40*F40*G40</f>
        <v>17205000</v>
      </c>
      <c r="I40" s="29">
        <f>'1. Parámetros'!$B$4</f>
        <v>36</v>
      </c>
      <c r="J40" s="31">
        <f>H40*I40</f>
        <v>619380000</v>
      </c>
    </row>
    <row r="41" spans="1:10" ht="21.75" customHeight="1" x14ac:dyDescent="0.25">
      <c r="A41" s="70" t="s">
        <v>369</v>
      </c>
      <c r="B41" s="70"/>
      <c r="C41" s="70"/>
      <c r="D41" s="70"/>
      <c r="E41" s="70"/>
      <c r="F41" s="70"/>
      <c r="G41" s="70"/>
      <c r="H41" s="70"/>
      <c r="I41" s="70"/>
      <c r="J41" s="70"/>
    </row>
    <row r="42" spans="1:10" x14ac:dyDescent="0.25">
      <c r="A42" s="28">
        <v>32</v>
      </c>
      <c r="B42" s="14" t="s">
        <v>370</v>
      </c>
      <c r="C42" s="2" t="s">
        <v>20</v>
      </c>
      <c r="D42" s="15">
        <v>1</v>
      </c>
      <c r="E42" s="18">
        <v>1</v>
      </c>
      <c r="F42" s="30">
        <v>8369999.9999999991</v>
      </c>
      <c r="G42" s="37">
        <f>'1. Parámetros'!$B$28</f>
        <v>1.85</v>
      </c>
      <c r="H42" s="38">
        <f>D42*E42*F42*G42</f>
        <v>15484499.999999998</v>
      </c>
      <c r="I42" s="29">
        <f>'1. Parámetros'!$B$4</f>
        <v>36</v>
      </c>
      <c r="J42" s="31">
        <f>H42*I42</f>
        <v>557441999.99999988</v>
      </c>
    </row>
    <row r="43" spans="1:10" ht="24.75" customHeight="1" x14ac:dyDescent="0.25">
      <c r="A43" s="28">
        <v>33</v>
      </c>
      <c r="B43" s="14" t="s">
        <v>371</v>
      </c>
      <c r="C43" s="2" t="s">
        <v>20</v>
      </c>
      <c r="D43" s="15">
        <v>1</v>
      </c>
      <c r="E43" s="18">
        <v>1</v>
      </c>
      <c r="F43" s="30">
        <v>11160000</v>
      </c>
      <c r="G43" s="37">
        <f>'1. Parámetros'!$B$28</f>
        <v>1.85</v>
      </c>
      <c r="H43" s="38">
        <f>D43*E43*F43*G43</f>
        <v>20646000</v>
      </c>
      <c r="I43" s="29">
        <f>'1. Parámetros'!$B$4</f>
        <v>36</v>
      </c>
      <c r="J43" s="31">
        <f>H43*I43</f>
        <v>743256000</v>
      </c>
    </row>
    <row r="44" spans="1:10" x14ac:dyDescent="0.25">
      <c r="A44" s="28">
        <v>34</v>
      </c>
      <c r="B44" s="14" t="s">
        <v>372</v>
      </c>
      <c r="C44" s="2" t="s">
        <v>20</v>
      </c>
      <c r="D44" s="15">
        <v>6</v>
      </c>
      <c r="E44" s="18">
        <v>1</v>
      </c>
      <c r="F44" s="30">
        <v>5580000</v>
      </c>
      <c r="G44" s="37">
        <f>'1. Parámetros'!$B$28</f>
        <v>1.85</v>
      </c>
      <c r="H44" s="38">
        <f>D44*E44*F44*G44</f>
        <v>61938000</v>
      </c>
      <c r="I44" s="29">
        <f>'1. Parámetros'!$B$4</f>
        <v>36</v>
      </c>
      <c r="J44" s="31">
        <f>H44*I44</f>
        <v>2229768000</v>
      </c>
    </row>
    <row r="45" spans="1:10" x14ac:dyDescent="0.25">
      <c r="A45" s="28">
        <v>35</v>
      </c>
      <c r="B45" s="14" t="s">
        <v>373</v>
      </c>
      <c r="C45" s="2" t="s">
        <v>20</v>
      </c>
      <c r="D45" s="15">
        <v>18</v>
      </c>
      <c r="E45" s="18">
        <v>1</v>
      </c>
      <c r="F45" s="30">
        <v>4184999.9999999995</v>
      </c>
      <c r="G45" s="37">
        <f>'1. Parámetros'!$B$28</f>
        <v>1.85</v>
      </c>
      <c r="H45" s="38">
        <f>D45*E45*F45*G45</f>
        <v>139360499.99999997</v>
      </c>
      <c r="I45" s="29">
        <f>'1. Parámetros'!$B$4</f>
        <v>36</v>
      </c>
      <c r="J45" s="31">
        <f>H45*I45</f>
        <v>5016977999.999999</v>
      </c>
    </row>
    <row r="46" spans="1:10" x14ac:dyDescent="0.25">
      <c r="A46" s="28">
        <v>36</v>
      </c>
      <c r="B46" s="14" t="s">
        <v>374</v>
      </c>
      <c r="C46" s="2" t="s">
        <v>20</v>
      </c>
      <c r="D46" s="15">
        <v>6</v>
      </c>
      <c r="E46" s="18">
        <v>1</v>
      </c>
      <c r="F46" s="30">
        <v>4650000</v>
      </c>
      <c r="G46" s="37">
        <f>'1. Parámetros'!$B$28</f>
        <v>1.85</v>
      </c>
      <c r="H46" s="38">
        <f>D46*E46*F46*G46</f>
        <v>51615000</v>
      </c>
      <c r="I46" s="29">
        <f>'1. Parámetros'!$B$4</f>
        <v>36</v>
      </c>
      <c r="J46" s="31">
        <f>H46*I46</f>
        <v>1858140000</v>
      </c>
    </row>
    <row r="47" spans="1:10" ht="21.75" customHeight="1" x14ac:dyDescent="0.25">
      <c r="A47" s="70" t="s">
        <v>375</v>
      </c>
      <c r="B47" s="70"/>
      <c r="C47" s="70"/>
      <c r="D47" s="70"/>
      <c r="E47" s="70"/>
      <c r="F47" s="70"/>
      <c r="G47" s="70"/>
      <c r="H47" s="70"/>
      <c r="I47" s="70"/>
      <c r="J47" s="70"/>
    </row>
    <row r="48" spans="1:10" x14ac:dyDescent="0.25">
      <c r="A48" s="28">
        <v>37</v>
      </c>
      <c r="B48" s="14" t="s">
        <v>376</v>
      </c>
      <c r="C48" s="2" t="s">
        <v>377</v>
      </c>
      <c r="D48" s="15">
        <v>2</v>
      </c>
      <c r="E48" s="18">
        <v>1</v>
      </c>
      <c r="F48" s="30">
        <v>11625000</v>
      </c>
      <c r="G48" s="37">
        <f>'1. Parámetros'!$B$28</f>
        <v>1.85</v>
      </c>
      <c r="H48" s="38">
        <f>D48*E48*F48*G48</f>
        <v>43012500</v>
      </c>
      <c r="I48" s="29">
        <f>'1. Parámetros'!$B$4</f>
        <v>36</v>
      </c>
      <c r="J48" s="31">
        <f>H48*I48</f>
        <v>1548450000</v>
      </c>
    </row>
    <row r="49" spans="1:10" ht="24.75" customHeight="1" x14ac:dyDescent="0.25">
      <c r="A49" s="28">
        <v>38</v>
      </c>
      <c r="B49" s="14" t="s">
        <v>378</v>
      </c>
      <c r="C49" s="2" t="s">
        <v>377</v>
      </c>
      <c r="D49" s="15">
        <v>2</v>
      </c>
      <c r="E49" s="18">
        <v>1</v>
      </c>
      <c r="F49" s="30">
        <v>10230000</v>
      </c>
      <c r="G49" s="37">
        <f>'1. Parámetros'!$B$28</f>
        <v>1.85</v>
      </c>
      <c r="H49" s="38">
        <f>D49*E49*F49*G49</f>
        <v>37851000</v>
      </c>
      <c r="I49" s="29">
        <f>'1. Parámetros'!$B$4</f>
        <v>36</v>
      </c>
      <c r="J49" s="31">
        <f>H49*I49</f>
        <v>1362636000</v>
      </c>
    </row>
    <row r="50" spans="1:10" ht="24.75" customHeight="1" x14ac:dyDescent="0.25">
      <c r="A50" s="28">
        <v>39</v>
      </c>
      <c r="B50" s="14" t="s">
        <v>379</v>
      </c>
      <c r="C50" s="2" t="s">
        <v>377</v>
      </c>
      <c r="D50" s="15">
        <v>1</v>
      </c>
      <c r="E50" s="18">
        <v>1</v>
      </c>
      <c r="F50" s="30">
        <v>10230000</v>
      </c>
      <c r="G50" s="37">
        <f>'1. Parámetros'!$B$28</f>
        <v>1.85</v>
      </c>
      <c r="H50" s="38">
        <f>D50*E50*F50*G50</f>
        <v>18925500</v>
      </c>
      <c r="I50" s="29">
        <f>'1. Parámetros'!$B$4</f>
        <v>36</v>
      </c>
      <c r="J50" s="31">
        <f>H50*I50</f>
        <v>681318000</v>
      </c>
    </row>
    <row r="51" spans="1:10" ht="24.75" customHeight="1" x14ac:dyDescent="0.25">
      <c r="A51" s="28">
        <v>40</v>
      </c>
      <c r="B51" s="14" t="s">
        <v>380</v>
      </c>
      <c r="C51" s="2" t="s">
        <v>377</v>
      </c>
      <c r="D51" s="15">
        <v>1</v>
      </c>
      <c r="E51" s="18">
        <v>1</v>
      </c>
      <c r="F51" s="30">
        <v>11160000</v>
      </c>
      <c r="G51" s="37">
        <f>'1. Parámetros'!$B$28</f>
        <v>1.85</v>
      </c>
      <c r="H51" s="38">
        <f>D51*E51*F51*G51</f>
        <v>20646000</v>
      </c>
      <c r="I51" s="29">
        <f>'1. Parámetros'!$B$4</f>
        <v>36</v>
      </c>
      <c r="J51" s="31">
        <f>H51*I51</f>
        <v>743256000</v>
      </c>
    </row>
    <row r="52" spans="1:10" x14ac:dyDescent="0.25">
      <c r="A52" s="28">
        <v>41</v>
      </c>
      <c r="B52" s="14" t="s">
        <v>381</v>
      </c>
      <c r="C52" s="2" t="s">
        <v>377</v>
      </c>
      <c r="D52" s="15">
        <v>4</v>
      </c>
      <c r="E52" s="18">
        <v>1</v>
      </c>
      <c r="F52" s="30">
        <v>4650000</v>
      </c>
      <c r="G52" s="37">
        <f>'1. Parámetros'!$B$28</f>
        <v>1.85</v>
      </c>
      <c r="H52" s="38">
        <f>D52*E52*F52*G52</f>
        <v>34410000</v>
      </c>
      <c r="I52" s="29">
        <f>'1. Parámetros'!$B$4</f>
        <v>36</v>
      </c>
      <c r="J52" s="31">
        <f>H52*I52</f>
        <v>1238760000</v>
      </c>
    </row>
    <row r="54" spans="1:10" ht="30" customHeight="1" x14ac:dyDescent="0.25">
      <c r="A54" s="66" t="s">
        <v>382</v>
      </c>
      <c r="B54" s="66"/>
      <c r="C54" s="66"/>
      <c r="D54" s="66"/>
      <c r="E54" s="66"/>
      <c r="F54" s="66"/>
      <c r="G54" s="66"/>
      <c r="H54" s="66"/>
      <c r="I54" s="66"/>
      <c r="J54" s="33">
        <f>SUMIF(B6:B52,"&lt;&gt;",J6:J52)</f>
        <v>53523722700</v>
      </c>
    </row>
  </sheetData>
  <mergeCells count="10">
    <mergeCell ref="A1:J1"/>
    <mergeCell ref="A2:J2"/>
    <mergeCell ref="A5:J5"/>
    <mergeCell ref="A10:J10"/>
    <mergeCell ref="A17:J17"/>
    <mergeCell ref="A31:J31"/>
    <mergeCell ref="A37:J37"/>
    <mergeCell ref="A41:J41"/>
    <mergeCell ref="A47:J47"/>
    <mergeCell ref="A54:I54"/>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32"/>
  <sheetViews>
    <sheetView topLeftCell="B25" zoomScale="120" zoomScaleNormal="120" workbookViewId="0">
      <selection activeCell="I30" sqref="I2:J30"/>
    </sheetView>
  </sheetViews>
  <sheetFormatPr baseColWidth="10" defaultColWidth="8.42578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 min="10" max="10" width="24.85546875" customWidth="1"/>
  </cols>
  <sheetData>
    <row r="1" spans="1:10" ht="30" customHeight="1" x14ac:dyDescent="0.25">
      <c r="A1" s="67" t="s">
        <v>383</v>
      </c>
      <c r="B1" s="67"/>
      <c r="C1" s="67"/>
      <c r="D1" s="67"/>
      <c r="E1" s="67"/>
      <c r="F1" s="67"/>
      <c r="G1" s="67"/>
    </row>
    <row r="3" spans="1:10" ht="37.5" customHeight="1" x14ac:dyDescent="0.25">
      <c r="A3" s="1" t="s">
        <v>3</v>
      </c>
      <c r="B3" s="1" t="s">
        <v>384</v>
      </c>
      <c r="C3" s="1" t="s">
        <v>59</v>
      </c>
      <c r="D3" s="1" t="s">
        <v>161</v>
      </c>
      <c r="E3" s="1" t="s">
        <v>385</v>
      </c>
      <c r="F3" s="1" t="s">
        <v>163</v>
      </c>
      <c r="G3" s="1" t="s">
        <v>386</v>
      </c>
    </row>
    <row r="4" spans="1:10" ht="15" customHeight="1" x14ac:dyDescent="0.25">
      <c r="A4" s="69" t="s">
        <v>387</v>
      </c>
      <c r="B4" s="69"/>
      <c r="C4" s="69"/>
      <c r="D4" s="69"/>
      <c r="E4" s="69"/>
      <c r="F4" s="69"/>
      <c r="G4" s="69"/>
      <c r="J4" s="39"/>
    </row>
    <row r="5" spans="1:10" ht="30" customHeight="1" x14ac:dyDescent="0.25">
      <c r="A5" s="28">
        <v>1</v>
      </c>
      <c r="B5" s="14" t="s">
        <v>388</v>
      </c>
      <c r="C5" s="16" t="s">
        <v>389</v>
      </c>
      <c r="D5" s="15">
        <v>1</v>
      </c>
      <c r="E5" s="30">
        <v>26600000</v>
      </c>
      <c r="F5" s="15">
        <v>1</v>
      </c>
      <c r="G5" s="31">
        <f t="shared" ref="G5:G11" si="0">D5*E5*F5</f>
        <v>26600000</v>
      </c>
    </row>
    <row r="6" spans="1:10" ht="30" customHeight="1" x14ac:dyDescent="0.25">
      <c r="A6" s="28">
        <v>2</v>
      </c>
      <c r="B6" s="14" t="s">
        <v>390</v>
      </c>
      <c r="C6" s="16" t="s">
        <v>391</v>
      </c>
      <c r="D6" s="15">
        <v>1</v>
      </c>
      <c r="E6" s="30">
        <v>34200000</v>
      </c>
      <c r="F6" s="15">
        <v>1</v>
      </c>
      <c r="G6" s="31">
        <f t="shared" si="0"/>
        <v>34200000</v>
      </c>
    </row>
    <row r="7" spans="1:10" ht="30" customHeight="1" x14ac:dyDescent="0.25">
      <c r="A7" s="28">
        <v>3</v>
      </c>
      <c r="B7" s="14" t="s">
        <v>392</v>
      </c>
      <c r="C7" s="16" t="s">
        <v>393</v>
      </c>
      <c r="D7" s="15">
        <v>1</v>
      </c>
      <c r="E7" s="30">
        <v>60800000</v>
      </c>
      <c r="F7" s="15">
        <v>1</v>
      </c>
      <c r="G7" s="31">
        <f t="shared" si="0"/>
        <v>60800000</v>
      </c>
    </row>
    <row r="8" spans="1:10" ht="30" customHeight="1" x14ac:dyDescent="0.25">
      <c r="A8" s="28">
        <v>4</v>
      </c>
      <c r="B8" s="14" t="s">
        <v>394</v>
      </c>
      <c r="C8" s="16" t="s">
        <v>389</v>
      </c>
      <c r="D8" s="15">
        <v>1</v>
      </c>
      <c r="E8" s="30">
        <v>19000000</v>
      </c>
      <c r="F8" s="15">
        <v>1</v>
      </c>
      <c r="G8" s="31">
        <f t="shared" si="0"/>
        <v>19000000</v>
      </c>
    </row>
    <row r="9" spans="1:10" ht="30" customHeight="1" x14ac:dyDescent="0.25">
      <c r="A9" s="28">
        <v>5</v>
      </c>
      <c r="B9" s="14" t="s">
        <v>395</v>
      </c>
      <c r="C9" s="16" t="s">
        <v>396</v>
      </c>
      <c r="D9" s="15">
        <v>1</v>
      </c>
      <c r="E9" s="30">
        <v>11400000</v>
      </c>
      <c r="F9" s="15">
        <v>1</v>
      </c>
      <c r="G9" s="31">
        <f t="shared" si="0"/>
        <v>11400000</v>
      </c>
    </row>
    <row r="10" spans="1:10" ht="30" customHeight="1" x14ac:dyDescent="0.25">
      <c r="A10" s="28">
        <v>6</v>
      </c>
      <c r="B10" s="14" t="s">
        <v>397</v>
      </c>
      <c r="C10" s="16" t="s">
        <v>398</v>
      </c>
      <c r="D10" s="15">
        <v>10</v>
      </c>
      <c r="E10" s="30">
        <v>136800000</v>
      </c>
      <c r="F10" s="15">
        <v>1</v>
      </c>
      <c r="G10" s="31">
        <f t="shared" si="0"/>
        <v>1368000000</v>
      </c>
    </row>
    <row r="11" spans="1:10" ht="30" customHeight="1" x14ac:dyDescent="0.25">
      <c r="A11" s="28">
        <v>7</v>
      </c>
      <c r="B11" s="14" t="s">
        <v>399</v>
      </c>
      <c r="C11" s="16" t="s">
        <v>305</v>
      </c>
      <c r="D11" s="15">
        <v>876</v>
      </c>
      <c r="E11" s="30">
        <v>1140000</v>
      </c>
      <c r="F11" s="15">
        <v>1</v>
      </c>
      <c r="G11" s="31">
        <f t="shared" si="0"/>
        <v>998640000</v>
      </c>
    </row>
    <row r="12" spans="1:10" x14ac:dyDescent="0.25">
      <c r="A12" s="65" t="s">
        <v>400</v>
      </c>
      <c r="B12" s="65"/>
      <c r="C12" s="65"/>
      <c r="D12" s="65"/>
      <c r="E12" s="65"/>
      <c r="F12" s="65"/>
      <c r="G12" s="7">
        <f>SUM(G5:G11)</f>
        <v>2518640000</v>
      </c>
    </row>
    <row r="14" spans="1:10" ht="15" customHeight="1" x14ac:dyDescent="0.25">
      <c r="A14" s="69" t="s">
        <v>401</v>
      </c>
      <c r="B14" s="69"/>
      <c r="C14" s="69"/>
      <c r="D14" s="69"/>
      <c r="E14" s="69"/>
      <c r="F14" s="69"/>
      <c r="G14" s="69"/>
    </row>
    <row r="15" spans="1:10" ht="30" customHeight="1" x14ac:dyDescent="0.25">
      <c r="A15" s="28">
        <v>1</v>
      </c>
      <c r="B15" s="14" t="s">
        <v>402</v>
      </c>
      <c r="C15" s="16" t="s">
        <v>193</v>
      </c>
      <c r="D15" s="15">
        <v>1</v>
      </c>
      <c r="E15" s="30">
        <v>15200000</v>
      </c>
      <c r="F15" s="15">
        <v>36</v>
      </c>
      <c r="G15" s="31">
        <f>D15*E15*F15</f>
        <v>547200000</v>
      </c>
    </row>
    <row r="16" spans="1:10" ht="30" customHeight="1" x14ac:dyDescent="0.25">
      <c r="A16" s="28">
        <v>2</v>
      </c>
      <c r="B16" s="14" t="s">
        <v>403</v>
      </c>
      <c r="C16" s="16" t="s">
        <v>193</v>
      </c>
      <c r="D16" s="15">
        <v>1</v>
      </c>
      <c r="E16" s="30">
        <v>15200000</v>
      </c>
      <c r="F16" s="15">
        <v>36</v>
      </c>
      <c r="G16" s="31">
        <f>D16*E16*F16</f>
        <v>547200000</v>
      </c>
    </row>
    <row r="17" spans="1:7" ht="30" customHeight="1" x14ac:dyDescent="0.25">
      <c r="A17" s="28">
        <v>3</v>
      </c>
      <c r="B17" s="14" t="s">
        <v>404</v>
      </c>
      <c r="C17" s="16" t="s">
        <v>193</v>
      </c>
      <c r="D17" s="15">
        <v>1</v>
      </c>
      <c r="E17" s="30">
        <v>6080000</v>
      </c>
      <c r="F17" s="15">
        <v>36</v>
      </c>
      <c r="G17" s="31">
        <f>D17*E17*F17</f>
        <v>218880000</v>
      </c>
    </row>
    <row r="18" spans="1:7" ht="30" customHeight="1" x14ac:dyDescent="0.25">
      <c r="A18" s="28">
        <v>4</v>
      </c>
      <c r="B18" s="14" t="s">
        <v>405</v>
      </c>
      <c r="C18" s="16" t="s">
        <v>193</v>
      </c>
      <c r="D18" s="15">
        <v>1</v>
      </c>
      <c r="E18" s="30">
        <v>4560000</v>
      </c>
      <c r="F18" s="15">
        <v>36</v>
      </c>
      <c r="G18" s="31">
        <f>D18*E18*F18</f>
        <v>164160000</v>
      </c>
    </row>
    <row r="19" spans="1:7" x14ac:dyDescent="0.25">
      <c r="A19" s="65" t="s">
        <v>406</v>
      </c>
      <c r="B19" s="65"/>
      <c r="C19" s="65"/>
      <c r="D19" s="65"/>
      <c r="E19" s="65"/>
      <c r="F19" s="65"/>
      <c r="G19" s="7">
        <f>SUM(G15:G18)</f>
        <v>1477440000</v>
      </c>
    </row>
    <row r="21" spans="1:7" ht="15" customHeight="1" x14ac:dyDescent="0.25">
      <c r="A21" s="69" t="s">
        <v>407</v>
      </c>
      <c r="B21" s="69"/>
      <c r="C21" s="69"/>
      <c r="D21" s="69"/>
      <c r="E21" s="69"/>
      <c r="F21" s="69"/>
      <c r="G21" s="69"/>
    </row>
    <row r="22" spans="1:7" ht="30" customHeight="1" x14ac:dyDescent="0.25">
      <c r="A22" s="28">
        <v>1</v>
      </c>
      <c r="B22" s="14" t="s">
        <v>408</v>
      </c>
      <c r="C22" s="16" t="s">
        <v>409</v>
      </c>
      <c r="D22" s="15">
        <v>1</v>
      </c>
      <c r="E22" s="40">
        <v>485000000</v>
      </c>
      <c r="F22" s="15">
        <v>1</v>
      </c>
      <c r="G22" s="31">
        <f t="shared" ref="G22:G29" si="1">D22*E22*F22</f>
        <v>485000000</v>
      </c>
    </row>
    <row r="23" spans="1:7" ht="30" customHeight="1" x14ac:dyDescent="0.25">
      <c r="A23" s="28">
        <v>2</v>
      </c>
      <c r="B23" s="14" t="s">
        <v>410</v>
      </c>
      <c r="C23" s="16" t="s">
        <v>409</v>
      </c>
      <c r="D23" s="15">
        <v>1</v>
      </c>
      <c r="E23" s="40">
        <v>735000000</v>
      </c>
      <c r="F23" s="15">
        <v>1</v>
      </c>
      <c r="G23" s="31">
        <f t="shared" si="1"/>
        <v>735000000</v>
      </c>
    </row>
    <row r="24" spans="1:7" ht="30" customHeight="1" x14ac:dyDescent="0.25">
      <c r="A24" s="28">
        <v>3</v>
      </c>
      <c r="B24" s="14" t="s">
        <v>411</v>
      </c>
      <c r="C24" s="16" t="s">
        <v>409</v>
      </c>
      <c r="D24" s="15">
        <v>1</v>
      </c>
      <c r="E24" s="40">
        <v>415000000</v>
      </c>
      <c r="F24" s="15">
        <v>1</v>
      </c>
      <c r="G24" s="31">
        <f t="shared" si="1"/>
        <v>415000000</v>
      </c>
    </row>
    <row r="25" spans="1:7" ht="30" customHeight="1" x14ac:dyDescent="0.25">
      <c r="A25" s="28">
        <v>4</v>
      </c>
      <c r="B25" s="14" t="s">
        <v>412</v>
      </c>
      <c r="C25" s="16" t="s">
        <v>409</v>
      </c>
      <c r="D25" s="15">
        <v>1</v>
      </c>
      <c r="E25" s="40">
        <v>975000000</v>
      </c>
      <c r="F25" s="15">
        <v>1</v>
      </c>
      <c r="G25" s="31">
        <f t="shared" si="1"/>
        <v>975000000</v>
      </c>
    </row>
    <row r="26" spans="1:7" ht="30" customHeight="1" x14ac:dyDescent="0.25">
      <c r="A26" s="28">
        <v>5</v>
      </c>
      <c r="B26" s="14" t="s">
        <v>413</v>
      </c>
      <c r="C26" s="16" t="s">
        <v>398</v>
      </c>
      <c r="D26" s="15">
        <v>1</v>
      </c>
      <c r="E26" s="40">
        <v>45600000</v>
      </c>
      <c r="F26" s="15">
        <v>36</v>
      </c>
      <c r="G26" s="31">
        <f t="shared" si="1"/>
        <v>1641600000</v>
      </c>
    </row>
    <row r="27" spans="1:7" ht="30" customHeight="1" x14ac:dyDescent="0.25">
      <c r="A27" s="28">
        <v>6</v>
      </c>
      <c r="B27" s="14" t="s">
        <v>414</v>
      </c>
      <c r="C27" s="16" t="s">
        <v>398</v>
      </c>
      <c r="D27" s="15">
        <v>1</v>
      </c>
      <c r="E27" s="40">
        <v>19000000</v>
      </c>
      <c r="F27" s="15">
        <v>36</v>
      </c>
      <c r="G27" s="31">
        <f t="shared" si="1"/>
        <v>684000000</v>
      </c>
    </row>
    <row r="28" spans="1:7" ht="30" customHeight="1" x14ac:dyDescent="0.25">
      <c r="A28" s="28">
        <v>7</v>
      </c>
      <c r="B28" s="14" t="s">
        <v>415</v>
      </c>
      <c r="C28" s="16" t="s">
        <v>193</v>
      </c>
      <c r="D28" s="15">
        <v>1</v>
      </c>
      <c r="E28" s="40">
        <v>15200000</v>
      </c>
      <c r="F28" s="15">
        <v>36</v>
      </c>
      <c r="G28" s="31">
        <f t="shared" si="1"/>
        <v>547200000</v>
      </c>
    </row>
    <row r="29" spans="1:7" ht="30" customHeight="1" x14ac:dyDescent="0.25">
      <c r="A29" s="28">
        <v>8</v>
      </c>
      <c r="B29" s="14" t="s">
        <v>416</v>
      </c>
      <c r="C29" s="16" t="s">
        <v>417</v>
      </c>
      <c r="D29" s="15">
        <v>3</v>
      </c>
      <c r="E29" s="40">
        <v>19000000</v>
      </c>
      <c r="F29" s="15">
        <v>1</v>
      </c>
      <c r="G29" s="31">
        <f t="shared" si="1"/>
        <v>57000000</v>
      </c>
    </row>
    <row r="30" spans="1:7" x14ac:dyDescent="0.25">
      <c r="A30" s="65" t="s">
        <v>418</v>
      </c>
      <c r="B30" s="65"/>
      <c r="C30" s="65"/>
      <c r="D30" s="65"/>
      <c r="E30" s="65"/>
      <c r="F30" s="65"/>
      <c r="G30" s="7">
        <f>SUM(G22:G29)</f>
        <v>5539800000</v>
      </c>
    </row>
    <row r="32" spans="1:7" ht="30" customHeight="1" x14ac:dyDescent="0.25">
      <c r="A32" s="66" t="s">
        <v>419</v>
      </c>
      <c r="B32" s="66"/>
      <c r="C32" s="66"/>
      <c r="D32" s="66"/>
      <c r="E32" s="66"/>
      <c r="F32" s="66"/>
      <c r="G32" s="33">
        <f>G12+G19+G30</f>
        <v>9535880000</v>
      </c>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cf4a4b-abd5-45d8-a9ca-6383e6ada94d" xsi:nil="true"/>
    <lcf76f155ced4ddcb4097134ff3c332f xmlns="2e454e55-8490-4620-a38f-55fc0db3d16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2993F30B8724C4DA4945E503DB1AD1D" ma:contentTypeVersion="19" ma:contentTypeDescription="Crear nuevo documento." ma:contentTypeScope="" ma:versionID="805b59049a2eb3b9f3d9c45756863370">
  <xsd:schema xmlns:xsd="http://www.w3.org/2001/XMLSchema" xmlns:xs="http://www.w3.org/2001/XMLSchema" xmlns:p="http://schemas.microsoft.com/office/2006/metadata/properties" xmlns:ns2="2e454e55-8490-4620-a38f-55fc0db3d160" xmlns:ns3="ebcf4a4b-abd5-45d8-a9ca-6383e6ada94d" targetNamespace="http://schemas.microsoft.com/office/2006/metadata/properties" ma:root="true" ma:fieldsID="c7547926caffe27a1bdd1038c2d827cb" ns2:_="" ns3:_="">
    <xsd:import namespace="2e454e55-8490-4620-a38f-55fc0db3d160"/>
    <xsd:import namespace="ebcf4a4b-abd5-45d8-a9ca-6383e6ada94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454e55-8490-4620-a38f-55fc0db3d1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81c5dcc7-a279-4fba-8510-d13a35a18b2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cf4a4b-abd5-45d8-a9ca-6383e6ada94d"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cd39f125-ec3f-44e6-a0f6-d76e114f80e5}" ma:internalName="TaxCatchAll" ma:showField="CatchAllData" ma:web="ebcf4a4b-abd5-45d8-a9ca-6383e6ada9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24663C-3DEB-4CDD-831D-FB6478FE3AD8}">
  <ds:schemaRefs>
    <ds:schemaRef ds:uri="http://schemas.microsoft.com/office/2006/metadata/properties"/>
    <ds:schemaRef ds:uri="http://schemas.microsoft.com/office/infopath/2007/PartnerControls"/>
    <ds:schemaRef ds:uri="ebcf4a4b-abd5-45d8-a9ca-6383e6ada94d"/>
    <ds:schemaRef ds:uri="2e454e55-8490-4620-a38f-55fc0db3d160"/>
  </ds:schemaRefs>
</ds:datastoreItem>
</file>

<file path=customXml/itemProps2.xml><?xml version="1.0" encoding="utf-8"?>
<ds:datastoreItem xmlns:ds="http://schemas.openxmlformats.org/officeDocument/2006/customXml" ds:itemID="{7BCEE36E-E306-4CDC-90EF-908529563F7D}">
  <ds:schemaRefs>
    <ds:schemaRef ds:uri="http://schemas.microsoft.com/sharepoint/v3/contenttype/forms"/>
  </ds:schemaRefs>
</ds:datastoreItem>
</file>

<file path=customXml/itemProps3.xml><?xml version="1.0" encoding="utf-8"?>
<ds:datastoreItem xmlns:ds="http://schemas.openxmlformats.org/officeDocument/2006/customXml" ds:itemID="{54A8BFEE-4955-4664-A608-224401B5EE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454e55-8490-4620-a38f-55fc0db3d160"/>
    <ds:schemaRef ds:uri="ebcf4a4b-abd5-45d8-a9ca-6383e6ada9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 Resumen Ejecutivo</vt:lpstr>
      <vt:lpstr>1. Parámetros</vt:lpstr>
      <vt:lpstr>D1. Conectividad</vt:lpstr>
      <vt:lpstr>D2. Seguridad</vt:lpstr>
      <vt:lpstr>D3. Videoconferencia</vt:lpstr>
      <vt:lpstr>D4. Cableado</vt:lpstr>
      <vt:lpstr>P6. Perfiles</vt:lpstr>
      <vt:lpstr>GG. Gastos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Gustavo Adolfo Palacio Olarte</cp:lastModifiedBy>
  <cp:revision>0</cp:revision>
  <dcterms:created xsi:type="dcterms:W3CDTF">2026-05-29T23:11:23Z</dcterms:created>
  <dcterms:modified xsi:type="dcterms:W3CDTF">2026-08-11T22:06:10Z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0x01010062993F30B8724C4DA4945E503DB1AD1D</vt:lpwstr>
  </property>
  <property fmtid="{D5CDD505-2E9C-101B-9397-08002B2CF9AE}" pid="3" name="MSIP_Label_defa4170-0d19-0005-0004-bc88714345d2_Enabled">
    <vt:lpwstr>true</vt:lpwstr>
  </property>
  <property fmtid="{D5CDD505-2E9C-101B-9397-08002B2CF9AE}" pid="4" name="MSIP_Label_defa4170-0d19-0005-0004-bc88714345d2_SetDate">
    <vt:lpwstr>2026-08-10T03:22:46Z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8d2f79c3-03e7-4dc9-92d3-1e6dbcbb791a</vt:lpwstr>
  </property>
  <property fmtid="{D5CDD505-2E9C-101B-9397-08002B2CF9AE}" pid="8" name="MSIP_Label_defa4170-0d19-0005-0004-bc88714345d2_ActionId">
    <vt:lpwstr>6efd3d3f-7205-4920-8a7b-9714e63cfda7</vt:lpwstr>
  </property>
  <property fmtid="{D5CDD505-2E9C-101B-9397-08002B2CF9AE}" pid="9" name="MSIP_Label_defa4170-0d19-0005-0004-bc88714345d2_ContentBits">
    <vt:lpwstr>0</vt:lpwstr>
  </property>
  <property fmtid="{D5CDD505-2E9C-101B-9397-08002B2CF9AE}" pid="10" name="MSIP_Label_defa4170-0d19-0005-0004-bc88714345d2_Tag">
    <vt:lpwstr>10, 3, 0, 1</vt:lpwstr>
  </property>
</Properties>
</file>