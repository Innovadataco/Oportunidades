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suarios\1030538210.DN0BOG01\Desktop\COTIZACIONES ARCANUS\"/>
    </mc:Choice>
  </mc:AlternateContent>
  <xr:revisionPtr revIDLastSave="0" documentId="8_{57CF7F0D-F9A4-4DBB-9245-EC95612588EE}" xr6:coauthVersionLast="47" xr6:coauthVersionMax="47" xr10:uidLastSave="{00000000-0000-0000-0000-000000000000}"/>
  <bookViews>
    <workbookView xWindow="-120" yWindow="-120" windowWidth="29040" windowHeight="15720" tabRatio="959" xr2:uid="{00000000-000D-0000-FFFF-FFFF00000000}"/>
  </bookViews>
  <sheets>
    <sheet name="0. Resumen Ejecutivo" sheetId="1" r:id="rId1"/>
    <sheet name="1. Parámetros" sheetId="2" r:id="rId2"/>
    <sheet name="D1. Conectividad" sheetId="3" r:id="rId3"/>
    <sheet name="D2. Seguridad" sheetId="4" r:id="rId4"/>
    <sheet name="D3. Videoconferencia" sheetId="5" r:id="rId5"/>
    <sheet name="D4. Cableado" sheetId="6" r:id="rId6"/>
    <sheet name="P6. Perfiles" sheetId="7" r:id="rId7"/>
    <sheet name="GG. Gastos Generale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1" i="1" l="1"/>
  <c r="D10" i="1"/>
  <c r="D9" i="1"/>
  <c r="D8" i="1"/>
  <c r="D7" i="1"/>
  <c r="D6" i="1"/>
  <c r="D5" i="1"/>
  <c r="G11" i="4" l="1"/>
  <c r="G29" i="8"/>
  <c r="G28" i="8"/>
  <c r="G27" i="8"/>
  <c r="G26" i="8"/>
  <c r="G25" i="8"/>
  <c r="G24" i="8"/>
  <c r="G23" i="8"/>
  <c r="G22" i="8"/>
  <c r="G30" i="8" s="1"/>
  <c r="G18" i="8"/>
  <c r="G17" i="8"/>
  <c r="G16" i="8"/>
  <c r="G15" i="8"/>
  <c r="G11" i="8"/>
  <c r="G10" i="8"/>
  <c r="G9" i="8"/>
  <c r="G8" i="8"/>
  <c r="G7" i="8"/>
  <c r="G6" i="8"/>
  <c r="G5" i="8"/>
  <c r="I52" i="7"/>
  <c r="H52" i="7"/>
  <c r="J52" i="7" s="1"/>
  <c r="G52" i="7"/>
  <c r="I51" i="7"/>
  <c r="H51" i="7"/>
  <c r="J51" i="7" s="1"/>
  <c r="G51" i="7"/>
  <c r="I50" i="7"/>
  <c r="H50" i="7"/>
  <c r="J50" i="7" s="1"/>
  <c r="G50" i="7"/>
  <c r="I49" i="7"/>
  <c r="G49" i="7"/>
  <c r="H49" i="7" s="1"/>
  <c r="J49" i="7" s="1"/>
  <c r="I48" i="7"/>
  <c r="G48" i="7"/>
  <c r="H48" i="7" s="1"/>
  <c r="J48" i="7" s="1"/>
  <c r="I46" i="7"/>
  <c r="H46" i="7"/>
  <c r="G46" i="7"/>
  <c r="I45" i="7"/>
  <c r="H45" i="7"/>
  <c r="J45" i="7" s="1"/>
  <c r="G45" i="7"/>
  <c r="I44" i="7"/>
  <c r="H44" i="7"/>
  <c r="J44" i="7" s="1"/>
  <c r="G44" i="7"/>
  <c r="I43" i="7"/>
  <c r="G43" i="7"/>
  <c r="H43" i="7" s="1"/>
  <c r="J43" i="7" s="1"/>
  <c r="I42" i="7"/>
  <c r="G42" i="7"/>
  <c r="H42" i="7" s="1"/>
  <c r="J42" i="7" s="1"/>
  <c r="I40" i="7"/>
  <c r="G40" i="7"/>
  <c r="H40" i="7" s="1"/>
  <c r="J40" i="7" s="1"/>
  <c r="I39" i="7"/>
  <c r="H39" i="7"/>
  <c r="J39" i="7" s="1"/>
  <c r="G39" i="7"/>
  <c r="I38" i="7"/>
  <c r="H38" i="7"/>
  <c r="J38" i="7" s="1"/>
  <c r="G38" i="7"/>
  <c r="I36" i="7"/>
  <c r="H36" i="7"/>
  <c r="J36" i="7" s="1"/>
  <c r="G36" i="7"/>
  <c r="I35" i="7"/>
  <c r="H35" i="7"/>
  <c r="J35" i="7" s="1"/>
  <c r="G35" i="7"/>
  <c r="I34" i="7"/>
  <c r="G34" i="7"/>
  <c r="H34" i="7" s="1"/>
  <c r="J34" i="7" s="1"/>
  <c r="I33" i="7"/>
  <c r="H33" i="7"/>
  <c r="G33" i="7"/>
  <c r="I32" i="7"/>
  <c r="H32" i="7"/>
  <c r="J32" i="7" s="1"/>
  <c r="G32" i="7"/>
  <c r="I30" i="7"/>
  <c r="H30" i="7"/>
  <c r="J30" i="7" s="1"/>
  <c r="G30" i="7"/>
  <c r="I29" i="7"/>
  <c r="G29" i="7"/>
  <c r="H29" i="7" s="1"/>
  <c r="J29" i="7" s="1"/>
  <c r="I28" i="7"/>
  <c r="G28" i="7"/>
  <c r="H28" i="7" s="1"/>
  <c r="J28" i="7" s="1"/>
  <c r="I27" i="7"/>
  <c r="G27" i="7"/>
  <c r="H27" i="7" s="1"/>
  <c r="J27" i="7" s="1"/>
  <c r="I26" i="7"/>
  <c r="H26" i="7"/>
  <c r="J26" i="7" s="1"/>
  <c r="G26" i="7"/>
  <c r="I25" i="7"/>
  <c r="H25" i="7"/>
  <c r="J25" i="7" s="1"/>
  <c r="G25" i="7"/>
  <c r="I24" i="7"/>
  <c r="H24" i="7"/>
  <c r="J24" i="7" s="1"/>
  <c r="G24" i="7"/>
  <c r="I23" i="7"/>
  <c r="H23" i="7"/>
  <c r="J23" i="7" s="1"/>
  <c r="G23" i="7"/>
  <c r="I22" i="7"/>
  <c r="G22" i="7"/>
  <c r="H22" i="7" s="1"/>
  <c r="J22" i="7" s="1"/>
  <c r="I21" i="7"/>
  <c r="H21" i="7"/>
  <c r="G21" i="7"/>
  <c r="I20" i="7"/>
  <c r="H20" i="7"/>
  <c r="J20" i="7" s="1"/>
  <c r="G20" i="7"/>
  <c r="I19" i="7"/>
  <c r="H19" i="7"/>
  <c r="J19" i="7" s="1"/>
  <c r="G19" i="7"/>
  <c r="I18" i="7"/>
  <c r="G18" i="7"/>
  <c r="H18" i="7" s="1"/>
  <c r="J18" i="7" s="1"/>
  <c r="I16" i="7"/>
  <c r="G16" i="7"/>
  <c r="H16" i="7" s="1"/>
  <c r="J16" i="7" s="1"/>
  <c r="I15" i="7"/>
  <c r="G15" i="7"/>
  <c r="H15" i="7" s="1"/>
  <c r="J15" i="7" s="1"/>
  <c r="I14" i="7"/>
  <c r="H14" i="7"/>
  <c r="J14" i="7" s="1"/>
  <c r="G14" i="7"/>
  <c r="I13" i="7"/>
  <c r="H13" i="7"/>
  <c r="J13" i="7" s="1"/>
  <c r="G13" i="7"/>
  <c r="I12" i="7"/>
  <c r="H12" i="7"/>
  <c r="J12" i="7" s="1"/>
  <c r="G12" i="7"/>
  <c r="I11" i="7"/>
  <c r="H11" i="7"/>
  <c r="J11" i="7" s="1"/>
  <c r="G11" i="7"/>
  <c r="I9" i="7"/>
  <c r="G9" i="7"/>
  <c r="H9" i="7" s="1"/>
  <c r="J9" i="7" s="1"/>
  <c r="I8" i="7"/>
  <c r="H8" i="7"/>
  <c r="G8" i="7"/>
  <c r="I7" i="7"/>
  <c r="H7" i="7"/>
  <c r="J7" i="7" s="1"/>
  <c r="G7" i="7"/>
  <c r="I6" i="7"/>
  <c r="H6" i="7"/>
  <c r="J6" i="7" s="1"/>
  <c r="G6" i="7"/>
  <c r="G18" i="6"/>
  <c r="G17" i="6"/>
  <c r="G19" i="6" s="1"/>
  <c r="G13" i="6"/>
  <c r="G12" i="6"/>
  <c r="G11" i="6"/>
  <c r="G10" i="6"/>
  <c r="G9" i="6"/>
  <c r="G8" i="6"/>
  <c r="G7" i="6"/>
  <c r="D7" i="6"/>
  <c r="D6" i="6"/>
  <c r="G6" i="6" s="1"/>
  <c r="G19" i="5"/>
  <c r="G18" i="5"/>
  <c r="D18" i="5"/>
  <c r="G17" i="5"/>
  <c r="D17" i="5"/>
  <c r="D16" i="5"/>
  <c r="G16" i="5" s="1"/>
  <c r="D15" i="5"/>
  <c r="G15" i="5" s="1"/>
  <c r="D14" i="5"/>
  <c r="G14" i="5" s="1"/>
  <c r="G10" i="5"/>
  <c r="F10" i="5"/>
  <c r="G9" i="5"/>
  <c r="F9" i="5"/>
  <c r="F8" i="5"/>
  <c r="G8" i="5" s="1"/>
  <c r="F7" i="5"/>
  <c r="G7" i="5" s="1"/>
  <c r="F6" i="5"/>
  <c r="D6" i="5"/>
  <c r="G6" i="5" s="1"/>
  <c r="G27" i="4"/>
  <c r="D27" i="4"/>
  <c r="G26" i="4"/>
  <c r="G25" i="4"/>
  <c r="F25" i="4"/>
  <c r="F24" i="4"/>
  <c r="D24" i="4"/>
  <c r="G24" i="4" s="1"/>
  <c r="G23" i="4"/>
  <c r="F23" i="4"/>
  <c r="F22" i="4"/>
  <c r="D22" i="4"/>
  <c r="G22" i="4" s="1"/>
  <c r="F21" i="4"/>
  <c r="G21" i="4" s="1"/>
  <c r="D21" i="4"/>
  <c r="G20" i="4"/>
  <c r="F20" i="4"/>
  <c r="F19" i="4"/>
  <c r="G19" i="4" s="1"/>
  <c r="D19" i="4"/>
  <c r="F18" i="4"/>
  <c r="G18" i="4" s="1"/>
  <c r="F17" i="4"/>
  <c r="G17" i="4" s="1"/>
  <c r="G16" i="4"/>
  <c r="F16" i="4"/>
  <c r="G15" i="4"/>
  <c r="F15" i="4"/>
  <c r="F11" i="4"/>
  <c r="F10" i="4"/>
  <c r="D10" i="4"/>
  <c r="F9" i="4"/>
  <c r="F8" i="4"/>
  <c r="D8" i="4"/>
  <c r="F7" i="4"/>
  <c r="G7" i="4" s="1"/>
  <c r="D7" i="4"/>
  <c r="F6" i="4"/>
  <c r="D6" i="4"/>
  <c r="G20" i="3"/>
  <c r="G19" i="3"/>
  <c r="G18" i="3"/>
  <c r="G17" i="3"/>
  <c r="G16" i="3"/>
  <c r="G15" i="3"/>
  <c r="F11" i="3"/>
  <c r="D11" i="3"/>
  <c r="G11" i="3" s="1"/>
  <c r="G10" i="3"/>
  <c r="F10" i="3"/>
  <c r="D10" i="3"/>
  <c r="F9" i="3"/>
  <c r="D9" i="3"/>
  <c r="G9" i="3" s="1"/>
  <c r="F8" i="3"/>
  <c r="D8" i="3"/>
  <c r="G8" i="3" s="1"/>
  <c r="F7" i="3"/>
  <c r="D7" i="3"/>
  <c r="G7" i="3" s="1"/>
  <c r="F6" i="3"/>
  <c r="D6" i="3"/>
  <c r="G6" i="3" s="1"/>
  <c r="D13" i="1"/>
  <c r="D14" i="1" s="1"/>
  <c r="E10" i="1"/>
  <c r="E9" i="1"/>
  <c r="E8" i="1"/>
  <c r="E7" i="1"/>
  <c r="E6" i="1"/>
  <c r="E5" i="1"/>
  <c r="D15" i="1" l="1"/>
  <c r="G19" i="8"/>
  <c r="G12" i="8"/>
  <c r="G32" i="8" s="1"/>
  <c r="J46" i="7"/>
  <c r="J33" i="7"/>
  <c r="J21" i="7"/>
  <c r="J8" i="7"/>
  <c r="G14" i="6"/>
  <c r="G21" i="6" s="1"/>
  <c r="G11" i="5"/>
  <c r="G21" i="3"/>
  <c r="G12" i="3"/>
  <c r="G8" i="4"/>
  <c r="G9" i="4"/>
  <c r="G10" i="4"/>
  <c r="G6" i="4"/>
  <c r="G12" i="4" s="1"/>
  <c r="G23" i="3"/>
  <c r="G20" i="5"/>
  <c r="G28" i="4"/>
  <c r="G22" i="5"/>
  <c r="J54" i="7"/>
  <c r="G30" i="4" l="1"/>
</calcChain>
</file>

<file path=xl/sharedStrings.xml><?xml version="1.0" encoding="utf-8"?>
<sst xmlns="http://schemas.openxmlformats.org/spreadsheetml/2006/main" count="553" uniqueCount="425">
  <si>
    <t xml:space="preserve">                    PRESTAR LOS SERVICIOS DE TELECOMUNICACIONES DE RED CORPORATIVA WAN-LAN, SEGURIDAD INFORMÁTICA Y VIDEOCONFERENCIA PARA LA FISCALÍA GENERAL DE LA NACIÓN </t>
  </si>
  <si>
    <t>Servicios Gestionados TIC Integrales — Fiscalía General de la Nación | 36 meses | 876 sedes | 5 dominios técnicos</t>
  </si>
  <si>
    <t>ANEXO 4. FORMATO DE OFERTA ECONÓMICA - CUADRO DE COSTOS CONSOLIDADO</t>
  </si>
  <si>
    <t>Ítem</t>
  </si>
  <si>
    <t>Componente</t>
  </si>
  <si>
    <t>Hoja de detalle</t>
  </si>
  <si>
    <t>Valor (COP)</t>
  </si>
  <si>
    <t>% Costo Directo</t>
  </si>
  <si>
    <t>D1</t>
  </si>
  <si>
    <t>DOMINIO 1 — Conectividad WAN-LAN SD-WAN</t>
  </si>
  <si>
    <t>'D1. Conectividad'</t>
  </si>
  <si>
    <t>D2</t>
  </si>
  <si>
    <t>DOMINIO 2 — Seguridad Digital y Ciberseguridad</t>
  </si>
  <si>
    <t>'D2. Seguridad'</t>
  </si>
  <si>
    <t>D3</t>
  </si>
  <si>
    <t>DOMINIO 3 — Videoconferencia (UCaaS + Hardware)</t>
  </si>
  <si>
    <t>'D3. Videoconferencia'</t>
  </si>
  <si>
    <t>D4</t>
  </si>
  <si>
    <t>DOMINIO 4 — Cableado Estructurado (bolsa de puntos)</t>
  </si>
  <si>
    <t>'D4. Cableado'</t>
  </si>
  <si>
    <t>P6</t>
  </si>
  <si>
    <t>ANEXO 6 — Perfiles Profesionales (36 meses)</t>
  </si>
  <si>
    <t>'P6. Perfiles'</t>
  </si>
  <si>
    <t>GG</t>
  </si>
  <si>
    <t>Gastos Generales, Transición y Administración</t>
  </si>
  <si>
    <t>'GG. Gastos Generales'</t>
  </si>
  <si>
    <t>TOTAL</t>
  </si>
  <si>
    <t>100.0%</t>
  </si>
  <si>
    <t>VALOR TOTAL ESTIMADO DEL CONTRATO ARCANUS 2026 (36 MESES, IVA INCLUIDO Y TODOS LOS COSTOS DIRECTOS E INDIRECTOS A QUE HAYA LUGAR)</t>
  </si>
  <si>
    <t>Valor mensual promedio (sobre 36 meses, IVA incluido)</t>
  </si>
  <si>
    <t>Costo promedio por sede (876 sedes, 36 meses)</t>
  </si>
  <si>
    <t>OBSERVACIONES PARA EL ESTUDIO DEL SECTOR</t>
  </si>
  <si>
    <t>• Esta proyección de costos constituye una estimación referencial para el ESTUDIO DEL SECTOR conforme al Decreto 1600 de 2024. Los valores unitarios deben validarse con MÍNIMO DOS (2) cotizaciones formales y consultas en SECOP II.</t>
  </si>
  <si>
    <t>• La modalidad de selección es LICITACIÓN PÚBLICA con adjudicación a un único proponente (o proponente plural), conforme lo justifica la integralidad del proyecto y la responsabilidad extremo a extremo sobre los ANS.</t>
  </si>
  <si>
    <t>• La forma de pago combina TRES esquemas: (a) tarifa mensual por servicios recurrentes (conectividad, seguridad, UCaaS), (b) pago contra entrega de hardware (soluciones VC, kits LEO), (c) bolsa de monto agotable (cableado por punto ejecutado).</t>
  </si>
  <si>
    <t>• Los ANS extremadamente exigentes (99.99% disponibilidad, RTO 8 minutos) y la responsabilidad extremo a extremo justifican el factor multiplicador y los porcentajes de administración/utilidad aplicados.</t>
  </si>
  <si>
    <t>• El esquema de coexistencia operacional con el proveedor saliente (10 meses) genera sobrecostos específicos contemplados en la sección de Transición.</t>
  </si>
  <si>
    <t>• La liquidación de pagos estará sujeta a ajustes económicos y créditos de servicio por incumplimiento de ANS, conforme al Anexo 5 — Acuerdos de Niveles de Servicio.</t>
  </si>
  <si>
    <t>• El presente cuadro NO incluye la interventoría del contrato (proceso independiente bajo Concurso de Méritos — ver cuadro de costos separado).</t>
  </si>
  <si>
    <t>• En su cotización debe incluir IVA y todos los costos directos e indirectos a que haya lugar.</t>
  </si>
  <si>
    <t>IMPORTANTE: 1. El proponente en la estructuración de su oferta económica deberá presentar máximo DOS (2) decimales.
2, En el caso que se presenten más de DOS (2) decimales, se recomienda utilizar el método de redondeo estándar, esto es, si el tercer decimal es menor que CINCO (5), el segundo decimal se mantiene; si el tercer decimal es igual o mayor que CINCO (5), el segundo decimal se incrementa en uno.
3.  En caso de presentar exclusión de algún impuesto, anexar la correspondiente justificación debidamente firmada por el Representante Legal. 
4. No modificar ninguna especificación descrita en la necesidad.
5. Tener en cuenta las causales de rechazo establecidas en el Pliego de condiciones.
6. Debe ajustarse exactamente a lo solicitado en la Ficha Técnica.
7. Debe presentar oferta en formato EXCEL EDITABLE.</t>
  </si>
  <si>
    <t>Marque con una X la opción que corresponda</t>
  </si>
  <si>
    <t>PERSONA JURÍDICA</t>
  </si>
  <si>
    <t>El Decreto 1600 de 2024 en el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calidad de representante legal, certifico con mi firma bajo la gravedad de juramento, que ni la empresa ni sus accionistas se encuentran inmersos en inhabilidades e incompatibilidades frente a las empresas que puedan presentarse a cotizar en este proceso.</t>
  </si>
  <si>
    <t xml:space="preserve">PERSONA NATURAL </t>
  </si>
  <si>
    <t>El Decreto 1600 de 2024 en su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nombre propio, certifico con mi firma bajo la gravedad de juramento  que no me encuentro inmerso en inhabilidades e incompatibilidades frente a los posibles oferentes que puedan presentarse a cotizar en este proceso.</t>
  </si>
  <si>
    <t>Empresa / Nombre Completo:</t>
  </si>
  <si>
    <t>NIT / C.C.:</t>
  </si>
  <si>
    <t>Teléfono o Celular:</t>
  </si>
  <si>
    <t xml:space="preserve">E-mail: </t>
  </si>
  <si>
    <t>Fecha de Oferta:</t>
  </si>
  <si>
    <t>Validez de Oferta económica 90 días:</t>
  </si>
  <si>
    <t>¿Cumple con lo solicitado en le Ficha Técnica?</t>
  </si>
  <si>
    <t>FIRMA DIGITAL</t>
  </si>
  <si>
    <t>LICITACIÓN ARCANUS 2026 (FISCATEL) — PARÁMETROS Y SUPUESTOS</t>
  </si>
  <si>
    <t>Variable</t>
  </si>
  <si>
    <t>Valor</t>
  </si>
  <si>
    <t>Unidad</t>
  </si>
  <si>
    <t>Fuente / Justificación</t>
  </si>
  <si>
    <t>Plazo total del contrato</t>
  </si>
  <si>
    <t>meses</t>
  </si>
  <si>
    <t>Anexo Técnico de Interventoría / Fase IV M13-M36</t>
  </si>
  <si>
    <t>Total de sedes a atender</t>
  </si>
  <si>
    <t>sedes</t>
  </si>
  <si>
    <t>Anexo 1.1 Sedes (876 filas). NOTA: Anexo 2 S1.1.2 cita 877 y Anexo 7 cita 881 nodos - pendiente armonizar</t>
  </si>
  <si>
    <t>Sedes Cat 1 - Datacenters/Núcleo SD-WAN</t>
  </si>
  <si>
    <t>nodos</t>
  </si>
  <si>
    <t>Bogotá Salitre + Cali Bunker (activo-activo)</t>
  </si>
  <si>
    <t>Sedes Cat 2 - Principales (capitales)</t>
  </si>
  <si>
    <t>AT1 Conectividad (matriz post-consolidación)</t>
  </si>
  <si>
    <t>Sedes Cat 3 - Intermedias (ciudades medianas)</t>
  </si>
  <si>
    <t>AT1 Conectividad</t>
  </si>
  <si>
    <t>Sedes Cat 4 - Remotas (LEO satelital)</t>
  </si>
  <si>
    <t>AT1 Conectividad - zonas sin fibra</t>
  </si>
  <si>
    <t>Sedes Cat 5 - Nubes públicas (canales)</t>
  </si>
  <si>
    <t>canales</t>
  </si>
  <si>
    <t>Azure ExpressRoute + OCI FastConnect (2 c/u)</t>
  </si>
  <si>
    <t>Sedes Cat 6 - Canales complementarios</t>
  </si>
  <si>
    <t>AT1 Conectividad Cat 6 - cantidad NO cuantificada en anexos (estimacion por confirmar)</t>
  </si>
  <si>
    <t>Usuarios SASE/SSE</t>
  </si>
  <si>
    <t>usuarios</t>
  </si>
  <si>
    <t>AT2 Seguridad - licenciamiento perimetral</t>
  </si>
  <si>
    <t>Endpoints con XDR/EDR</t>
  </si>
  <si>
    <t>endpoints</t>
  </si>
  <si>
    <t>AT2 Seguridad - estaciones de trabajo</t>
  </si>
  <si>
    <t>Servidores Antimalware</t>
  </si>
  <si>
    <t>servidores</t>
  </si>
  <si>
    <t>AT2 Seguridad S10: 500 servidores aprox. (250 Linux / 250 Windows) [ajustado de 600]</t>
  </si>
  <si>
    <t>Activos monitoreados SOC</t>
  </si>
  <si>
    <t>activos</t>
  </si>
  <si>
    <t>AT2 Seguridad - monitoreo 24x7</t>
  </si>
  <si>
    <t>IPs escaneo de vulnerabilidades</t>
  </si>
  <si>
    <t>IPs</t>
  </si>
  <si>
    <t>AT2 Seguridad S14.2.1: minimo 2.000 IPs/activos [ajustado de 1.000]</t>
  </si>
  <si>
    <t>Dispositivos WAF Radware</t>
  </si>
  <si>
    <t>dispositivos</t>
  </si>
  <si>
    <t>AT2 Seguridad - gestión y administración</t>
  </si>
  <si>
    <t>Soluciones VC Tipo 1 - DJT</t>
  </si>
  <si>
    <t>soluciones</t>
  </si>
  <si>
    <t>AT3 Videoconferencia - cantidades del archivo Asignacion SVC.xlsx (no incluido en el paquete - verificar)</t>
  </si>
  <si>
    <t>Soluciones VC Tipo 2 - Auditorios</t>
  </si>
  <si>
    <t>AT3 Videoconferencia</t>
  </si>
  <si>
    <t>Soluciones VC Tipo 3 - Móviles</t>
  </si>
  <si>
    <t>AT3 Videoconferencia - kit con tótem LED</t>
  </si>
  <si>
    <t>Soluciones VC Tipo 4 - Direcciones/Subdirecciones</t>
  </si>
  <si>
    <t>Kits de Soporte VC (Tipo 1, 3 y 4)</t>
  </si>
  <si>
    <t>kits</t>
  </si>
  <si>
    <t>Soluciones móviles LEO descongestión</t>
  </si>
  <si>
    <t>AT1 Conectividad - brigadas de justicia</t>
  </si>
  <si>
    <t>Bolsa puntos cableado Cat 6A blindado</t>
  </si>
  <si>
    <t>puntos</t>
  </si>
  <si>
    <t>AT4 Cableado Estructurado</t>
  </si>
  <si>
    <t>Bolsa reubicación de puntos</t>
  </si>
  <si>
    <t>Pentesting (campañas 36 meses)</t>
  </si>
  <si>
    <t>ejecuciones</t>
  </si>
  <si>
    <t>AT2 Seguridad - mín. 2 por año</t>
  </si>
  <si>
    <t>Meses de transición / coexistencia</t>
  </si>
  <si>
    <t>AT7 Protocolo de Transición</t>
  </si>
  <si>
    <t>Factor multiplicador integral (servicio gestionado)</t>
  </si>
  <si>
    <t>factor</t>
  </si>
  <si>
    <t>Cubre prestaciones + admin + utilidad consultor</t>
  </si>
  <si>
    <t>Porcentaje de imprevistos</t>
  </si>
  <si>
    <t>%</t>
  </si>
  <si>
    <t>Estándar contratación pública servicios gestionados</t>
  </si>
  <si>
    <t>Porcentaje de administración del contratista</t>
  </si>
  <si>
    <t>Sobre costos directos</t>
  </si>
  <si>
    <t>Porcentaje de utilidad del contratista</t>
  </si>
  <si>
    <t>Tasa de IVA aplicable</t>
  </si>
  <si>
    <t>Estatuto Tributario Nacional</t>
  </si>
  <si>
    <t>Conexiones NAC (de las cuales min. 25.000 con postura)</t>
  </si>
  <si>
    <t>conexiones</t>
  </si>
  <si>
    <t>AT2 Seguridad S9.4 [REFERENCIA: la hoja D2 item 7 usa 30.000 usuarios - ajuste pendiente de aprobacion]</t>
  </si>
  <si>
    <t>Usuarios DLP</t>
  </si>
  <si>
    <t>AT2 Seguridad S8.2.2 [REFERENCIA: la hoja D2 item 8 usa 26.000 endpoints - ajuste pendiente de aprobacion]</t>
  </si>
  <si>
    <t>Estudios formales de trafico (36 meses)</t>
  </si>
  <si>
    <t>estudios</t>
  </si>
  <si>
    <t>AT1 C13.3: 1 linea base + 3 anuales [REFERENCIA: la hoja D1 item 6 usa 12 - ajuste pendiente de aprobacion]</t>
  </si>
  <si>
    <t>NOTAS METODOLÓGICAS</t>
  </si>
  <si>
    <t>1. Los valores unitarios son referenciales de mercado para servicios gestionados TIC en Colombia 2026 — deben validarse con MÍNIMO DOS (2) cotizaciones formales según Decreto 1600 de 2024.</t>
  </si>
  <si>
    <t>2. El factor multiplicador (1.85) aplica solo a perfiles profesionales y cubre prestaciones, parafiscales, dotación, capacitación, certificaciones, administración y utilidad del consultor.</t>
  </si>
  <si>
    <t>3. Servicios recurrentes (conectividad, seguridad, plataforma UCaaS) se modelan como tarifa mensual × meses. Hardware (soluciones VC, kits LEO) se factura contra entrega.</t>
  </si>
  <si>
    <t>4. Cableado se factura bajo modalidad BOLSA DE MONTO AGOTABLE: se paga por punto efectivamente instalado/reubicado.</t>
  </si>
  <si>
    <t>5. Los costos de Cat 1 (datacenter) incluyen 2 canales Internet 5Gbps + 2 canales datos 5Gbps + 2 canales por nube pública.</t>
  </si>
  <si>
    <t>6. Las cantidades estimadas para servicios por demanda (SASE, EDR, puntos) son MÁXIMOS referenciales, no obligaciones mínimas de consumo para la Entidad.</t>
  </si>
  <si>
    <t>7. AJUSTES 31-07-2026 (solo hoja Parametros, validacion vs anexos): servidores 600-&gt;500 (S10); IPs escaneo 1.000-&gt;2.000 (S14.2.1). Se agregan como referencia NAC 35.000 conexiones (S9.4), DLP 30.000 usuarios (S8.2.2) y estudios de trafico 4 (C13.3), sin modificar las hojas D1/D2.</t>
  </si>
  <si>
    <t>CONVENCIONES DE COLOR</t>
  </si>
  <si>
    <t>Texto azul</t>
  </si>
  <si>
    <t>Entrada modificable (hardcoded input)</t>
  </si>
  <si>
    <t>Texto negro</t>
  </si>
  <si>
    <t>Fórmula calculada</t>
  </si>
  <si>
    <t>Texto verde</t>
  </si>
  <si>
    <t>Vínculo entre hojas</t>
  </si>
  <si>
    <t>Fondo verde claro</t>
  </si>
  <si>
    <t>Total / Subtotal</t>
  </si>
  <si>
    <t>Fondo azul navy</t>
  </si>
  <si>
    <t>Gran total / valor final del contrato</t>
  </si>
  <si>
    <t>DOMINIO 1 — SERVICIO DE CONECTIVIDAD WAN-LAN (SD-WAN NACIONAL)</t>
  </si>
  <si>
    <t>Anexo Técnico 1 — Arquitectura SD-WAN activo-activo Bogotá-Cali / Cobertura 876 sedes / IPv6 dual-stack</t>
  </si>
  <si>
    <t>Servicio / Componente</t>
  </si>
  <si>
    <t>Cantidad</t>
  </si>
  <si>
    <t>Tarifa unitaria mensual
(COP)</t>
  </si>
  <si>
    <t>Meses</t>
  </si>
  <si>
    <t>Costo total 36 meses
(COP)</t>
  </si>
  <si>
    <t>Observaciones</t>
  </si>
  <si>
    <t>A. SERVICIO SD-WAN RECURRENTE POR CATEGORÍA DE SEDE</t>
  </si>
  <si>
    <t>Servicio Cat 1 — Datacenter / Núcleo SD-WAN (2x5Gbps Internet + 2x5Gbps Datos + 2x canal por nube)</t>
  </si>
  <si>
    <t>Nodo-mes</t>
  </si>
  <si>
    <t>Servicio Cat 2 — Sedes principales (fibra dedicada con redundancia 1:1, doble carrier)</t>
  </si>
  <si>
    <t>Sede-mes</t>
  </si>
  <si>
    <t>765 sedes en capitales (post-consolidación)</t>
  </si>
  <si>
    <t>Servicio Cat 3 — Redes metropolitanas / Ciudades intermedias (MPLS + Internet activo-activo)</t>
  </si>
  <si>
    <t>Sedes seccionales en ciudades medianas</t>
  </si>
  <si>
    <t>Servicio Cat 4 — Satelital LEO empresarial (zonas sin fibra)</t>
  </si>
  <si>
    <t>Tipo Starlink Business / SES-O3b</t>
  </si>
  <si>
    <t>Servicio Cat 5 — Interconexión cloud (ExpressRoute + FastConnect + VPN B2B)</t>
  </si>
  <si>
    <t>Canal-mes</t>
  </si>
  <si>
    <t>Azure + OCI (2 canales por nube)</t>
  </si>
  <si>
    <t>Servicio Cat 6 — Canales complementarios (Internet respaldo, móvil, WiFi)</t>
  </si>
  <si>
    <t>Bolsa de servicios complementarios</t>
  </si>
  <si>
    <t>Subtotal A — Servicio SD-WAN recurrente</t>
  </si>
  <si>
    <t>B. SERVICIOS Y COMPONENTES ADICIONALES DE CONECTIVIDAD</t>
  </si>
  <si>
    <t>Solución móvil LEO para jornadas de descongestión / brigadas de justicia</t>
  </si>
  <si>
    <t>Kit</t>
  </si>
  <si>
    <t>Pago contra entrega - hardware + activación</t>
  </si>
  <si>
    <t>Servicio mensual conectividad LEO móvil (post-instalación)</t>
  </si>
  <si>
    <t>Kit-mes</t>
  </si>
  <si>
    <t>Tarifa de servicio una vez activado</t>
  </si>
  <si>
    <t>Adquisición y renovación Pool IPv6 /44 + ASN propio FGN</t>
  </si>
  <si>
    <t>Global</t>
  </si>
  <si>
    <t>Una sola vez - registro LACNIC</t>
  </si>
  <si>
    <t>Plataforma de monitoreo Anexo 1 C11 (licenciamiento incluido en CPE)</t>
  </si>
  <si>
    <t>Servicio-mes</t>
  </si>
  <si>
    <t>Observabilidad de red</t>
  </si>
  <si>
    <t>Servicio de ampliación de ancho de banda por demanda (bolsa anual)</t>
  </si>
  <si>
    <t>Bolsa-año</t>
  </si>
  <si>
    <t>Crecimientos según demanda FGN</t>
  </si>
  <si>
    <t>Estudios formales de tráfico / capacidad (trimestrales)</t>
  </si>
  <si>
    <t>Estudio</t>
  </si>
  <si>
    <t>Caracterización 6/12/24 meses por categoría</t>
  </si>
  <si>
    <t>Subtotal B — Servicios y componentes adicionales</t>
  </si>
  <si>
    <t>TOTAL DOMINIO 1 — CONECTIVIDAD WAN-LAN</t>
  </si>
  <si>
    <t>DOMINIO 2 — SEGURIDAD DIGITAL Y CIBERSEGURIDAD (SASE/SSE + SOC 24x7)</t>
  </si>
  <si>
    <t>Anexo Técnico 2 — Arquitectura SASE/SSE / SOC 24x7 / SIEM-SOAR / EDR-XDR / NAC / PAM / DLP</t>
  </si>
  <si>
    <t>A. PLATAFORMA SASE/SSE Y PROTECCIÓN PERIMETRAL</t>
  </si>
  <si>
    <t>Licenciamiento SASE/SSE por usuario (SWG + CASB + ZTNA + DLP)</t>
  </si>
  <si>
    <t>Usuario-mes</t>
  </si>
  <si>
    <t>30.000 usuarios</t>
  </si>
  <si>
    <t>Antimalware + XDR para endpoints (estaciones de trabajo)</t>
  </si>
  <si>
    <t>Endpoint-mes</t>
  </si>
  <si>
    <t>26.000 endpoints</t>
  </si>
  <si>
    <t>Antimalware para servidores (Windows / Linux)</t>
  </si>
  <si>
    <t>Servidor-mes</t>
  </si>
  <si>
    <t>600 servidores</t>
  </si>
  <si>
    <t>Protección DDoS y NGFW perimetral (gestionado)</t>
  </si>
  <si>
    <t>Plataforma-mes</t>
  </si>
  <si>
    <t>Inspección perímetro a 10 Gbps</t>
  </si>
  <si>
    <t>Gestión y administración de WAF Radware existentes</t>
  </si>
  <si>
    <t>Dispositivo-mes</t>
  </si>
  <si>
    <t>4 dispositivos WAF FGN</t>
  </si>
  <si>
    <t>WAF como servicio adicional para apps cloud</t>
  </si>
  <si>
    <t>App-mes</t>
  </si>
  <si>
    <t>Bolsa para apps SaaS críticas</t>
  </si>
  <si>
    <t>Subtotal A — SASE/SSE y Protección Perimetral</t>
  </si>
  <si>
    <t>B. SOC 24x7 — SIEM / SOAR / NDR / PAM / NAC / DLP</t>
  </si>
  <si>
    <t>SOC 24x7 — Operación gestionada (turnos N1/N2/N3, runbooks, threat hunting)</t>
  </si>
  <si>
    <t>Centro de Operaciones de Seguridad</t>
  </si>
  <si>
    <t>SIEM — Licenciamiento por EPS (eventos por segundo) e ingesta de logs</t>
  </si>
  <si>
    <t>Ingestión multifuente / retención 36 meses</t>
  </si>
  <si>
    <t>SOAR — Plataforma de orquestación y respuesta automatizada</t>
  </si>
  <si>
    <t>Playbooks integrados con ITSM</t>
  </si>
  <si>
    <t>NDR — Network Detection &amp; Response (sensores en sedes Cat 1)</t>
  </si>
  <si>
    <t>Detección lateral en datacenter</t>
  </si>
  <si>
    <t>Monitoreo de activos críticos (1.500 activos monitoreados)</t>
  </si>
  <si>
    <t>Activo-mes</t>
  </si>
  <si>
    <t>Servidores, bases de datos, apps misionales</t>
  </si>
  <si>
    <t>PAM — Privileged Access Management (gestión de accesos privilegiados)</t>
  </si>
  <si>
    <t>Gestión de cuentas privilegiadas</t>
  </si>
  <si>
    <t>NAC — Network Access Control (control de acceso a la red)</t>
  </si>
  <si>
    <t>Integrado con AD/IdP</t>
  </si>
  <si>
    <t>DLP — Data Loss Prevention (endpoint + M365 + SSE + Discovery)</t>
  </si>
  <si>
    <t>Catálogo inicial 25 políticas</t>
  </si>
  <si>
    <t>Vigilancia digital Clear/Deep/Dark Web (CTI - Threat Intelligence)</t>
  </si>
  <si>
    <t>Monitoreo de marca FGN</t>
  </si>
  <si>
    <t>Escaneo recurrente de vulnerabilidades internas</t>
  </si>
  <si>
    <t>IP-mes</t>
  </si>
  <si>
    <t>1.000 IPs escaneadas</t>
  </si>
  <si>
    <t>Escaneo de vulnerabilidades perímetro/externo</t>
  </si>
  <si>
    <t>Activos expuestos a Internet</t>
  </si>
  <si>
    <t xml:space="preserve">Servicio de Correo Seguro (Protección de Correo Electrónico Basada en Nube) </t>
  </si>
  <si>
    <t>Correo analizado y seguro</t>
  </si>
  <si>
    <t>Pruebas de Penetración (Pentesting) — campañas semestrales</t>
  </si>
  <si>
    <t>Ejecución</t>
  </si>
  <si>
    <t>6 campañas / 36 meses (NIST 800-115)</t>
  </si>
  <si>
    <t>Subtotal B — SOC 24x7 y Servicios Gestionados de Ciberseguridad</t>
  </si>
  <si>
    <t>TOTAL DOMINIO 2 — SEGURIDAD DIGITAL Y CIBERSEGURIDAD</t>
  </si>
  <si>
    <t>DOMINIO 3 — SERVICIO DE VIDEOCONFERENCIA (UCAAS + HARDWARE DE SALAS)</t>
  </si>
  <si>
    <t>Anexo Técnico 3 — Plataforma UCaaS SaaS/Híbrida / 86 salas / Webinars 2.000+ asistentes / Cert. NDAA</t>
  </si>
  <si>
    <t>A. PLATAFORMA UCAAS — LICENCIAMIENTO Y SERVICIO RECURRENTE</t>
  </si>
  <si>
    <t>Plataforma UCaaS (SaaS/Híbrida) — licenciamiento usuario reuniones estándar</t>
  </si>
  <si>
    <t>30.000 usuarios FGN</t>
  </si>
  <si>
    <t>Licenciamiento Webinar (2.000+ participantes concurrentes)</t>
  </si>
  <si>
    <t>Audiencias virtuales / streaming integrado</t>
  </si>
  <si>
    <t>Repositorio de grabaciones con retención permanente y portal</t>
  </si>
  <si>
    <t>Mediateca + transcripción + DLP integrado</t>
  </si>
  <si>
    <t>Soporte técnico en sitio para eventos críticos / 250 servicios/mes</t>
  </si>
  <si>
    <t>Operadores VC (perfil P5 - ver hoja Perfiles)</t>
  </si>
  <si>
    <t>Integración con Microsoft Teams + AD/IdP institucional</t>
  </si>
  <si>
    <t>Interoperabilidad UCaaS-Teams</t>
  </si>
  <si>
    <t>Subtotal A — Plataforma UCaaS</t>
  </si>
  <si>
    <t>B. HARDWARE DE SALAS DE VIDEOCONFERENCIA (PAGO CONTRA ENTREGA)</t>
  </si>
  <si>
    <t>Solución Tipo 1 — DJT: Pantalla interactiva 55" + 2 cámaras PTZ + 2 micrófonos + tablet + asistente</t>
  </si>
  <si>
    <t>Solución</t>
  </si>
  <si>
    <t>Justicia Transicional - 31 salas</t>
  </si>
  <si>
    <t>Solución Tipo 2 — Auditorios: Códec VC + 2 cámaras PTZ + tablet + asistente</t>
  </si>
  <si>
    <t>Auditorios principales - 7 salas</t>
  </si>
  <si>
    <t>Solución Tipo 3 — Móviles: Códec + 2 PTZ + 4 micrófonos + tablet + asistente + tótem LED 55"</t>
  </si>
  <si>
    <t>Kit móvil con tótem - 3 unidades</t>
  </si>
  <si>
    <t>Solución Tipo 4 — Direcciones: Pantalla interactiva 55" con carro móvil + cámara PTZ + micrófono + tablet</t>
  </si>
  <si>
    <t>Direcciones y Subdirecciones - 45 salas</t>
  </si>
  <si>
    <t>Kit de Soporte (Tipo 1, 3 y 4) — Repuestos y elementos de respaldo</t>
  </si>
  <si>
    <t>7 kits de soporte / repuestos</t>
  </si>
  <si>
    <t>Instalación, configuración y puesta en marcha de salas</t>
  </si>
  <si>
    <t>Sala</t>
  </si>
  <si>
    <t>Por cada sala instalada (servicio profesional)</t>
  </si>
  <si>
    <t>Subtotal B — Hardware de Salas (pago contra entrega)</t>
  </si>
  <si>
    <t>TOTAL DOMINIO 3 — VIDEOCONFERENCIA</t>
  </si>
  <si>
    <t>DOMINIO 4 — CABLEADO ESTRUCTURADO (BOLSA DE PUNTOS CATEGORÍA 6A BLINDADO)</t>
  </si>
  <si>
    <t>Anexo Técnico 4 — Modalidad bolsa de monto agotable / Pago por punto efectivamente ejecutado</t>
  </si>
  <si>
    <t>A. BOLSA DE PUNTOS DE CABLEADO (PAGO CONTRA EJECUCIÓN)</t>
  </si>
  <si>
    <t>Punto completo de datos Cat 6A blindado (incluye salida datos + toma regulada + toma normal)</t>
  </si>
  <si>
    <t>Punto</t>
  </si>
  <si>
    <t>Bolsa - 6.000 puntos máximos</t>
  </si>
  <si>
    <t>Reubicación de punto lógico + eléctrico (cumple condiciones técnicas sin empalmes)</t>
  </si>
  <si>
    <t>Bolsa - 1.000 puntos máximos</t>
  </si>
  <si>
    <t>Punto eléctrico regulado (cuando se requiere solo toma)</t>
  </si>
  <si>
    <t>Bolsa según necesidad - sin contar</t>
  </si>
  <si>
    <t>Punto eléctrico normal</t>
  </si>
  <si>
    <t>Backbone fibra óptica multimodo OM4 12 hilos por enlace</t>
  </si>
  <si>
    <t>Enlace</t>
  </si>
  <si>
    <t>Interconexión entre racks (cuando aplica)</t>
  </si>
  <si>
    <t>Suministro e instalación de gabinete/rack de comunicaciones</t>
  </si>
  <si>
    <t>Bolsa de gabinetes - según diseño</t>
  </si>
  <si>
    <t>Sistema de puesta a tierra (TGB/TMGB + medición + caja protección)</t>
  </si>
  <si>
    <t>Sede</t>
  </si>
  <si>
    <t>Sedes que no cuenten con PAT</t>
  </si>
  <si>
    <t>Visita Site Survey por sede (dimensionamiento previo)</t>
  </si>
  <si>
    <t>Previa a intervención</t>
  </si>
  <si>
    <t>Subtotal A — Bolsa de Puntos y Componentes</t>
  </si>
  <si>
    <t>B. MANTENIMIENTO Y ATENCIÓN POR DEMANDA</t>
  </si>
  <si>
    <t>Atención de incidentes y requerimientos en cableado (bolsa mensual)</t>
  </si>
  <si>
    <t>Soporte correctivo - 36 meses</t>
  </si>
  <si>
    <t>Certificación y pruebas de desempeño post-instalación (por sede)</t>
  </si>
  <si>
    <t>Certificación</t>
  </si>
  <si>
    <t>Una por cada sede intervenida</t>
  </si>
  <si>
    <t>Subtotal B — Mantenimiento y atención por demanda</t>
  </si>
  <si>
    <t>TOTAL DOMINIO 4 — CABLEADO ESTRUCTURADO</t>
  </si>
  <si>
    <t>ANEXO 6 — PERFILES PROFESIONALES DEL PROVEEDOR (36 MESES)</t>
  </si>
  <si>
    <t>Personal mínimo del contratista para la operación de los 5 dominios — Roles P1 a P7</t>
  </si>
  <si>
    <t>Perfil profesional</t>
  </si>
  <si>
    <t>Categoría
(P1-P7)</t>
  </si>
  <si>
    <t>Cant.</t>
  </si>
  <si>
    <t>Dedic.
(%)</t>
  </si>
  <si>
    <t>Salario base
mensual (COP)</t>
  </si>
  <si>
    <t>Factor
multip.</t>
  </si>
  <si>
    <t>Costo mensual
total (COP)</t>
  </si>
  <si>
    <t>Total perfil 36 meses
(COP)</t>
  </si>
  <si>
    <t>P1 — ROLES ESTRATÉGICOS TRANSVERSALES</t>
  </si>
  <si>
    <t>Gerente de Proyecto Presencial (PMP) — Único punto de contacto</t>
  </si>
  <si>
    <t>P1</t>
  </si>
  <si>
    <t>Director Técnico (TOGAF + ITIL Strategic Leader)</t>
  </si>
  <si>
    <t>Jefe de Servicios (ITIL v4 + PMI)</t>
  </si>
  <si>
    <t>Gestor de Transición (PMP + ITIL Specialist) — Solo M1-M10</t>
  </si>
  <si>
    <t>P2 — PERFILES TÉCNICOS DE CONECTIVIDAD</t>
  </si>
  <si>
    <t>Ingeniero Residente Bogotá (turno 1) — 5x12</t>
  </si>
  <si>
    <t>P2</t>
  </si>
  <si>
    <t>Ingeniero Residente Bogotá (turno 2) — 5x12</t>
  </si>
  <si>
    <t>Ingeniero Residente Cali — 5x8</t>
  </si>
  <si>
    <t>Especialista en Conectividad WAN/SD-WAN (CCNP/JNCIP)</t>
  </si>
  <si>
    <t>Especialista SD-WAN avanzado (orquestador, ADVPN, QoS)</t>
  </si>
  <si>
    <t>Ingeniero NOC 7x24 (turnos rotativos)</t>
  </si>
  <si>
    <t>P3 — PERFILES TÉCNICOS DE SEGURIDAD (SOC + SASE + DLP + NAC + PAM)</t>
  </si>
  <si>
    <t>Gerente de Seguridad (CISSP + ISO 27001 Lead Auditor)</t>
  </si>
  <si>
    <t>P3</t>
  </si>
  <si>
    <t>Coordinador SOC (GIAC GSOC)</t>
  </si>
  <si>
    <t>Analista SOC N1 — Turnos 7x24</t>
  </si>
  <si>
    <t>Analista SOC N2 — Threat hunting / casos complejos</t>
  </si>
  <si>
    <t>Analista SOC N3 — Incident response / forensia</t>
  </si>
  <si>
    <t>Especialista SASE/SSE (administración plataforma)</t>
  </si>
  <si>
    <t>Operadores de seguridad (NGFW,WAF,DDoS,Antimalware)</t>
  </si>
  <si>
    <t>Especialista DevSecOps (SOAR, CI/CD)</t>
  </si>
  <si>
    <t>Especialista EDR/XDR (endpoint security)</t>
  </si>
  <si>
    <t>Especialista DLP (M365 + endpoint + SSE)</t>
  </si>
  <si>
    <t>Especialista NAC (control de acceso a red)</t>
  </si>
  <si>
    <t>Especialista PAM (Privileged Access Management)</t>
  </si>
  <si>
    <t>Pentester / Ethical Hacker (OSCP)</t>
  </si>
  <si>
    <t>P4 — PERFILES DE SERVICIOS, MESA DE AYUDA Y OBSERVABILIDAD</t>
  </si>
  <si>
    <t>Coordinador de Agentes (Mesa de Ayuda)</t>
  </si>
  <si>
    <t>P4</t>
  </si>
  <si>
    <t>Agentes Mesa de Ayuda N1 (atención remota)</t>
  </si>
  <si>
    <t>Agentes Mesa de Ayuda N2 (escalamiento)</t>
  </si>
  <si>
    <t>Técnicos de soporte en sitio (presencial sedes Bogotá)</t>
  </si>
  <si>
    <t>Especialista de Observabilidad (Splunk/Elastic/Dynatrace)</t>
  </si>
  <si>
    <t>P5 — PERFILES TÉCNICOS DE VIDEOCONFERENCIA</t>
  </si>
  <si>
    <t>Agentes de Videoconferencia (3 agentes)</t>
  </si>
  <si>
    <t>P5</t>
  </si>
  <si>
    <t>Operador de Sala VC (CTS AVIXA) — Eventos críticos DJT</t>
  </si>
  <si>
    <t>Ingeniero de Plataforma UCaaS (Cisco/Teams/Zoom/Pexip)</t>
  </si>
  <si>
    <t>P6 — PERFILES TÉCNICOS DE CABLEADO ESTRUCTURADO</t>
  </si>
  <si>
    <t>Coordinador de Implementación Regional (PMP)</t>
  </si>
  <si>
    <t>Ingeniero Líder RCDD/ATD (auditoría sedes &gt;100 puntos)</t>
  </si>
  <si>
    <t>Líder de Cableado certificado (cuadrillas)</t>
  </si>
  <si>
    <t>Técnico de Cableado (instalación)</t>
  </si>
  <si>
    <t>Eléctrico CONTE (RETIE + alturas)</t>
  </si>
  <si>
    <t>P7 — PERFILES DE INFRAESTRUCTURA Y DATACENTER</t>
  </si>
  <si>
    <t>Especialista Linux (RHCSA/RHCE)</t>
  </si>
  <si>
    <t>P7</t>
  </si>
  <si>
    <t>Especialista Plataforma Microsoft (Azure/AD/Windows Server)</t>
  </si>
  <si>
    <t>Especialista de Almacenamiento (Hitachi/Dell SAN/NAS)</t>
  </si>
  <si>
    <t>Especialista DBA (Oracle/SQL Server/PostgreSQL)</t>
  </si>
  <si>
    <t>Operadores de Centro de Datos (7x24, turnos)</t>
  </si>
  <si>
    <t>TOTAL ANEXO 6 — PERFILES PROFESIONALES (36 MESES)</t>
  </si>
  <si>
    <t>GASTOS GENERALES, TRANSICIÓN Y ADMINISTRACIÓN DEL CONTRATO</t>
  </si>
  <si>
    <t>Concepto</t>
  </si>
  <si>
    <t>Valor unitario
(COP)</t>
  </si>
  <si>
    <t>Costo total
(COP)</t>
  </si>
  <si>
    <t>A. PROTOCOLO DE TRANSICIÓN (M1-M10)</t>
  </si>
  <si>
    <t>Plan Detallado de Transición (PDT) y documentación de plataforma actual</t>
  </si>
  <si>
    <t>Entregable</t>
  </si>
  <si>
    <t>Knowledge Transfer del proveedor saliente</t>
  </si>
  <si>
    <t>Servicio</t>
  </si>
  <si>
    <t>Ambiente de laboratorio / staging para pruebas paralelas</t>
  </si>
  <si>
    <t>Plataforma</t>
  </si>
  <si>
    <t>Inventario CMDB inicial validado</t>
  </si>
  <si>
    <t>Plan de comunicación y gestión del cambio</t>
  </si>
  <si>
    <t>Plan</t>
  </si>
  <si>
    <t>Doble facturación controlada — operación simultánea (M1-M10)</t>
  </si>
  <si>
    <t>Mes</t>
  </si>
  <si>
    <t>Costos de migración por sede (876 sedes × tarifa unitaria)</t>
  </si>
  <si>
    <t>Subtotal A — Protocolo de Transición</t>
  </si>
  <si>
    <t>B. PLATAFORMA ITSM, OBSERVABILIDAD Y CMDB INSTITUCIONAL</t>
  </si>
  <si>
    <t>Integración con herramienta ITSM institucional (system of record)</t>
  </si>
  <si>
    <t>Integración con plataforma Observabilidad FGN (CMDB + monitoreo)</t>
  </si>
  <si>
    <t>Reportería ejecutiva y dashboards de ANS</t>
  </si>
  <si>
    <t>Gestión de cambios, problemas y CAB</t>
  </si>
  <si>
    <t>Subtotal B — ITSM, Observabilidad y CMDB</t>
  </si>
  <si>
    <t>C. PÓLIZAS, GARANTÍAS Y GASTOS LOGÍSTICOS</t>
  </si>
  <si>
    <t>Póliza de cumplimiento (10% del valor del contrato)</t>
  </si>
  <si>
    <t>Vigencia</t>
  </si>
  <si>
    <t>Póliza de calidad del servicio</t>
  </si>
  <si>
    <t>Póliza de responsabilidad civil extracontractual</t>
  </si>
  <si>
    <t>Póliza de salarios y prestaciones sociales</t>
  </si>
  <si>
    <t>Logística nacional (despliegue y traslados a 876 sedes)</t>
  </si>
  <si>
    <t>Bodegaje, fletes, seguros de hardware</t>
  </si>
  <si>
    <t>Plan de Recuperación ante Desastres y BCP (DR)</t>
  </si>
  <si>
    <t>Auditorías ISO 27001 / ISO 22301 / SOC 2 (anuales)</t>
  </si>
  <si>
    <t>Auditoría</t>
  </si>
  <si>
    <t>Subtotal C — Pólizas, Garantías y Logística</t>
  </si>
  <si>
    <t>TOTAL GASTOS GENERALES, TRANSICIÓN Y ADMINISTRACIÓN</t>
  </si>
  <si>
    <t>830001637-7</t>
  </si>
  <si>
    <t>+57 (315) 271-6987</t>
  </si>
  <si>
    <t>farid.jabba@sonda.com</t>
  </si>
  <si>
    <t>Sonda de Colombia SA</t>
  </si>
  <si>
    <t>Representante Legal/Gerente de Cuenta:</t>
  </si>
  <si>
    <t>Patricio Fuentes / Farid Jabba</t>
  </si>
  <si>
    <t>SI X  NO_____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</si>
</sst>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_-;_-@_-"/>
    <numFmt numFmtId="165" formatCode="0.0%"/>
  </numFmts>
  <fonts count="31" x14ac:knownFonts="1">
    <font>
      <sz val="11"/>
      <color theme="1"/>
      <name val="Calibri"/>
      <family val="2"/>
      <charset val="1"/>
    </font>
    <font>
      <b/>
      <sz val="10"/>
      <name val="Arial"/>
      <family val="2"/>
      <charset val="1"/>
    </font>
    <font>
      <i/>
      <sz val="11"/>
      <color rgb="FF1F3864"/>
      <name val="Arial"/>
      <family val="2"/>
      <charset val="1"/>
    </font>
    <font>
      <b/>
      <sz val="11"/>
      <color rgb="FF1F3864"/>
      <name val="Arial"/>
      <family val="2"/>
      <charset val="1"/>
    </font>
    <font>
      <b/>
      <sz val="10"/>
      <color rgb="FFFFFFFF"/>
      <name val="Arial"/>
      <family val="2"/>
    </font>
    <font>
      <b/>
      <sz val="10"/>
      <color rgb="FF000000"/>
      <name val="Arial"/>
      <family val="2"/>
    </font>
    <font>
      <i/>
      <sz val="10"/>
      <color rgb="FF000000"/>
      <name val="Arial"/>
      <family val="2"/>
    </font>
    <font>
      <b/>
      <sz val="10"/>
      <color rgb="FF006100"/>
      <name val="Arial"/>
      <family val="2"/>
    </font>
    <font>
      <sz val="10"/>
      <name val="Arial"/>
      <family val="2"/>
    </font>
    <font>
      <b/>
      <sz val="11"/>
      <name val="Arial"/>
      <family val="2"/>
    </font>
    <font>
      <b/>
      <sz val="11"/>
      <color rgb="FF000000"/>
      <name val="Arial"/>
      <family val="2"/>
    </font>
    <font>
      <b/>
      <sz val="14"/>
      <color rgb="FFFFFFFF"/>
      <name val="Arial"/>
      <family val="2"/>
    </font>
    <font>
      <b/>
      <i/>
      <sz val="10"/>
      <color rgb="FF1F3864"/>
      <name val="Arial"/>
      <family val="2"/>
    </font>
    <font>
      <b/>
      <sz val="11"/>
      <color rgb="FFFFFFFF"/>
      <name val="Arial"/>
      <family val="2"/>
    </font>
    <font>
      <i/>
      <sz val="9"/>
      <name val="Arial"/>
      <family val="2"/>
      <charset val="1"/>
    </font>
    <font>
      <b/>
      <i/>
      <sz val="9"/>
      <name val="Arial"/>
      <family val="2"/>
      <charset val="1"/>
    </font>
    <font>
      <b/>
      <sz val="11"/>
      <color theme="1"/>
      <name val="Arial Narrow"/>
      <family val="2"/>
      <charset val="1"/>
    </font>
    <font>
      <sz val="11"/>
      <color theme="1"/>
      <name val="Arial Narrow"/>
      <family val="2"/>
      <charset val="1"/>
    </font>
    <font>
      <b/>
      <sz val="14"/>
      <color rgb="FFFFFFFF"/>
      <name val="Arial"/>
      <family val="2"/>
      <charset val="1"/>
    </font>
    <font>
      <sz val="10"/>
      <color rgb="FF000000"/>
      <name val="Arial"/>
      <family val="2"/>
    </font>
    <font>
      <sz val="10"/>
      <color rgb="FF0000FF"/>
      <name val="Arial"/>
      <family val="2"/>
    </font>
    <font>
      <sz val="11"/>
      <color rgb="FF0000FF"/>
      <name val="Calibri"/>
      <family val="2"/>
    </font>
    <font>
      <i/>
      <sz val="9"/>
      <color rgb="FF595959"/>
      <name val="Arial"/>
      <family val="2"/>
    </font>
    <font>
      <b/>
      <sz val="10"/>
      <color rgb="FF0000FF"/>
      <name val="Arial"/>
      <family val="2"/>
    </font>
    <font>
      <i/>
      <sz val="10"/>
      <color rgb="FF000000"/>
      <name val="Arial"/>
      <family val="2"/>
      <charset val="1"/>
    </font>
    <font>
      <i/>
      <sz val="11"/>
      <color rgb="FF1F3864"/>
      <name val="Arial"/>
      <family val="2"/>
    </font>
    <font>
      <sz val="10"/>
      <color rgb="FF006100"/>
      <name val="Arial"/>
      <family val="2"/>
    </font>
    <font>
      <b/>
      <sz val="10"/>
      <name val="Arial"/>
      <family val="2"/>
    </font>
    <font>
      <b/>
      <sz val="12"/>
      <color rgb="FFFFFFFF"/>
      <name val="Arial"/>
      <family val="2"/>
    </font>
    <font>
      <b/>
      <sz val="13"/>
      <color rgb="FFFFFFFF"/>
      <name val="Arial"/>
      <family val="2"/>
    </font>
    <font>
      <u/>
      <sz val="11"/>
      <color theme="10"/>
      <name val="Calibri"/>
      <family val="2"/>
      <charset val="1"/>
    </font>
  </fonts>
  <fills count="10">
    <fill>
      <patternFill patternType="none"/>
    </fill>
    <fill>
      <patternFill patternType="gray125"/>
    </fill>
    <fill>
      <patternFill patternType="solid">
        <fgColor theme="0"/>
        <bgColor rgb="FFFFFFCC"/>
      </patternFill>
    </fill>
    <fill>
      <patternFill patternType="solid">
        <fgColor rgb="FF2E5984"/>
        <bgColor rgb="FF595959"/>
      </patternFill>
    </fill>
    <fill>
      <patternFill patternType="solid">
        <fgColor rgb="FFC6EFCE"/>
        <bgColor rgb="FFD9E1F2"/>
      </patternFill>
    </fill>
    <fill>
      <patternFill patternType="solid">
        <fgColor rgb="FF1F3864"/>
        <bgColor rgb="FF333333"/>
      </patternFill>
    </fill>
    <fill>
      <patternFill patternType="solid">
        <fgColor rgb="FFFFC000"/>
        <bgColor rgb="FFFF9900"/>
      </patternFill>
    </fill>
    <fill>
      <patternFill patternType="solid">
        <fgColor theme="0" tint="-0.14999847407452621"/>
        <bgColor rgb="FFD9E1F2"/>
      </patternFill>
    </fill>
    <fill>
      <patternFill patternType="solid">
        <fgColor rgb="FFFFFF00"/>
        <bgColor rgb="FFFFFF00"/>
      </patternFill>
    </fill>
    <fill>
      <patternFill patternType="solid">
        <fgColor rgb="FFD9E1F2"/>
        <bgColor rgb="FFD9D9D9"/>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1F3864"/>
      </left>
      <right/>
      <top style="medium">
        <color rgb="FF1F3864"/>
      </top>
      <bottom style="medium">
        <color rgb="FF1F3864"/>
      </bottom>
      <diagonal/>
    </border>
    <border>
      <left style="medium">
        <color rgb="FF1F3864"/>
      </left>
      <right style="medium">
        <color rgb="FF1F3864"/>
      </right>
      <top style="medium">
        <color rgb="FF1F3864"/>
      </top>
      <bottom style="medium">
        <color rgb="FF1F3864"/>
      </bottom>
      <diagonal/>
    </border>
  </borders>
  <cellStyleXfs count="2">
    <xf numFmtId="0" fontId="0" fillId="0" borderId="0"/>
    <xf numFmtId="0" fontId="30" fillId="0" borderId="0" applyNumberFormat="0" applyFill="0" applyBorder="0" applyAlignment="0" applyProtection="0"/>
  </cellStyleXfs>
  <cellXfs count="71">
    <xf numFmtId="0" fontId="0" fillId="0" borderId="0" xfId="0"/>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164" fontId="7" fillId="0" borderId="1" xfId="0" applyNumberFormat="1" applyFont="1" applyBorder="1" applyAlignment="1">
      <alignment horizontal="right" vertical="center"/>
    </xf>
    <xf numFmtId="165" fontId="8" fillId="0" borderId="1" xfId="0" applyNumberFormat="1" applyFont="1" applyBorder="1" applyAlignment="1">
      <alignment horizontal="center" vertical="center"/>
    </xf>
    <xf numFmtId="164" fontId="10" fillId="4" borderId="1" xfId="0" applyNumberFormat="1" applyFont="1" applyFill="1" applyBorder="1" applyAlignment="1">
      <alignment horizontal="right" vertical="center"/>
    </xf>
    <xf numFmtId="0" fontId="9" fillId="4" borderId="1" xfId="0" applyFont="1" applyFill="1" applyBorder="1" applyAlignment="1">
      <alignment horizontal="center" vertical="center"/>
    </xf>
    <xf numFmtId="0" fontId="0" fillId="0" borderId="1" xfId="0" applyBorder="1"/>
    <xf numFmtId="164" fontId="11" fillId="5" borderId="1" xfId="0" applyNumberFormat="1" applyFont="1" applyFill="1" applyBorder="1" applyAlignment="1">
      <alignment horizontal="right" vertical="center"/>
    </xf>
    <xf numFmtId="0" fontId="0" fillId="5" borderId="1" xfId="0" applyFill="1" applyBorder="1"/>
    <xf numFmtId="164" fontId="12" fillId="0" borderId="1" xfId="0" applyNumberFormat="1" applyFont="1" applyBorder="1" applyAlignment="1">
      <alignment horizontal="right" vertical="center"/>
    </xf>
    <xf numFmtId="0" fontId="17" fillId="0" borderId="1" xfId="0" applyFont="1" applyBorder="1" applyAlignment="1" applyProtection="1">
      <alignment horizontal="justify" wrapText="1"/>
      <protection locked="0"/>
    </xf>
    <xf numFmtId="0" fontId="19" fillId="0" borderId="1" xfId="0" applyFont="1" applyBorder="1" applyAlignment="1">
      <alignment horizontal="left" vertical="center" wrapText="1"/>
    </xf>
    <xf numFmtId="3" fontId="20" fillId="0" borderId="1" xfId="0" applyNumberFormat="1" applyFont="1" applyBorder="1" applyAlignment="1">
      <alignment horizontal="center" vertical="center"/>
    </xf>
    <xf numFmtId="0" fontId="19" fillId="0" borderId="1" xfId="0" applyFont="1" applyBorder="1" applyAlignment="1">
      <alignment horizontal="center" vertical="center" wrapText="1"/>
    </xf>
    <xf numFmtId="2" fontId="20" fillId="0" borderId="1" xfId="0" applyNumberFormat="1" applyFont="1" applyBorder="1" applyAlignment="1">
      <alignment horizontal="center" vertical="center"/>
    </xf>
    <xf numFmtId="10" fontId="20" fillId="0" borderId="1" xfId="0" applyNumberFormat="1" applyFont="1" applyBorder="1" applyAlignment="1">
      <alignment horizontal="center" vertical="center"/>
    </xf>
    <xf numFmtId="10" fontId="21" fillId="0" borderId="1" xfId="0" applyNumberFormat="1" applyFont="1" applyBorder="1" applyAlignment="1">
      <alignment horizontal="center" vertical="center"/>
    </xf>
    <xf numFmtId="0" fontId="22" fillId="0" borderId="1" xfId="0" applyFont="1" applyBorder="1" applyAlignment="1">
      <alignment horizontal="left" vertical="center" wrapText="1"/>
    </xf>
    <xf numFmtId="0" fontId="0" fillId="0" borderId="3" xfId="0" applyBorder="1"/>
    <xf numFmtId="0" fontId="0" fillId="0" borderId="4" xfId="0" applyBorder="1"/>
    <xf numFmtId="0" fontId="23" fillId="0" borderId="1" xfId="0" applyFont="1" applyBorder="1"/>
    <xf numFmtId="0" fontId="5" fillId="0" borderId="1" xfId="0" applyFont="1" applyBorder="1"/>
    <xf numFmtId="0" fontId="7" fillId="0" borderId="1" xfId="0" applyFont="1" applyBorder="1"/>
    <xf numFmtId="0" fontId="5" fillId="4" borderId="1" xfId="0" applyFont="1" applyFill="1" applyBorder="1"/>
    <xf numFmtId="0" fontId="4" fillId="5" borderId="1" xfId="0" applyFont="1" applyFill="1" applyBorder="1"/>
    <xf numFmtId="3" fontId="19" fillId="0" borderId="1" xfId="0" applyNumberFormat="1" applyFont="1" applyBorder="1" applyAlignment="1">
      <alignment horizontal="center" vertical="center"/>
    </xf>
    <xf numFmtId="3" fontId="26" fillId="0" borderId="1" xfId="0" applyNumberFormat="1" applyFont="1" applyBorder="1" applyAlignment="1">
      <alignment horizontal="center" vertical="center"/>
    </xf>
    <xf numFmtId="164" fontId="20" fillId="8" borderId="1" xfId="0" applyNumberFormat="1" applyFont="1" applyFill="1" applyBorder="1" applyAlignment="1">
      <alignment horizontal="right" vertical="center"/>
    </xf>
    <xf numFmtId="164" fontId="5" fillId="0" borderId="1" xfId="0" applyNumberFormat="1" applyFont="1" applyBorder="1" applyAlignment="1">
      <alignment horizontal="right" vertical="center"/>
    </xf>
    <xf numFmtId="0" fontId="0" fillId="4" borderId="1" xfId="0" applyFill="1" applyBorder="1"/>
    <xf numFmtId="164" fontId="29" fillId="5" borderId="6" xfId="0" applyNumberFormat="1" applyFont="1" applyFill="1" applyBorder="1" applyAlignment="1">
      <alignment horizontal="right" vertical="center"/>
    </xf>
    <xf numFmtId="0" fontId="0" fillId="5" borderId="6" xfId="0" applyFill="1" applyBorder="1"/>
    <xf numFmtId="3" fontId="19" fillId="8" borderId="1" xfId="0" applyNumberFormat="1" applyFont="1" applyFill="1" applyBorder="1" applyAlignment="1">
      <alignment horizontal="center" vertical="center"/>
    </xf>
    <xf numFmtId="0" fontId="19" fillId="8" borderId="1" xfId="0" applyFont="1" applyFill="1" applyBorder="1" applyAlignment="1">
      <alignment horizontal="left" vertical="center" wrapText="1"/>
    </xf>
    <xf numFmtId="2" fontId="26" fillId="0" borderId="1" xfId="0" applyNumberFormat="1" applyFont="1" applyBorder="1" applyAlignment="1">
      <alignment horizontal="center" vertical="center"/>
    </xf>
    <xf numFmtId="164" fontId="19" fillId="0" borderId="1" xfId="0" applyNumberFormat="1" applyFont="1" applyBorder="1" applyAlignment="1">
      <alignment horizontal="right" vertical="center"/>
    </xf>
    <xf numFmtId="164" fontId="0" fillId="0" borderId="0" xfId="0" applyNumberFormat="1"/>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9" fillId="4" borderId="1" xfId="0" applyFont="1" applyFill="1" applyBorder="1" applyAlignment="1">
      <alignment horizontal="right" vertical="center" indent="1"/>
    </xf>
    <xf numFmtId="0" fontId="11" fillId="5" borderId="1" xfId="0" applyFont="1" applyFill="1" applyBorder="1" applyAlignment="1">
      <alignment horizontal="center" vertical="center" wrapText="1"/>
    </xf>
    <xf numFmtId="0" fontId="12" fillId="0" borderId="1" xfId="0" applyFont="1" applyBorder="1" applyAlignment="1">
      <alignment horizontal="right" vertical="center" indent="1"/>
    </xf>
    <xf numFmtId="0" fontId="13" fillId="3" borderId="1" xfId="0" applyFont="1" applyFill="1" applyBorder="1" applyAlignment="1">
      <alignment horizontal="left" vertical="center" wrapText="1" indent="1"/>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0" borderId="1" xfId="0" applyFont="1" applyBorder="1" applyAlignment="1" applyProtection="1">
      <alignment horizontal="center" vertical="center" wrapText="1"/>
      <protection locked="0"/>
    </xf>
    <xf numFmtId="0" fontId="16" fillId="0" borderId="1" xfId="0" applyFont="1" applyBorder="1" applyAlignment="1" applyProtection="1">
      <alignment horizontal="center" wrapText="1"/>
      <protection locked="0"/>
    </xf>
    <xf numFmtId="0" fontId="17" fillId="0" borderId="1" xfId="0" applyFont="1" applyBorder="1" applyAlignment="1" applyProtection="1">
      <alignment horizontal="center" wrapText="1"/>
      <protection locked="0"/>
    </xf>
    <xf numFmtId="0" fontId="14" fillId="0" borderId="1" xfId="0" applyFont="1" applyBorder="1" applyAlignment="1">
      <alignment horizontal="justify" wrapText="1"/>
    </xf>
    <xf numFmtId="3" fontId="16" fillId="6" borderId="1" xfId="0" applyNumberFormat="1" applyFont="1" applyFill="1" applyBorder="1" applyAlignment="1" applyProtection="1">
      <alignment horizontal="center" vertical="center" wrapText="1"/>
      <protection locked="0"/>
    </xf>
    <xf numFmtId="3" fontId="16" fillId="2" borderId="1" xfId="0" applyNumberFormat="1" applyFont="1" applyFill="1" applyBorder="1" applyAlignment="1" applyProtection="1">
      <alignment horizontal="center" vertical="center" wrapText="1"/>
      <protection locked="0"/>
    </xf>
    <xf numFmtId="3" fontId="16" fillId="2" borderId="1" xfId="0" quotePrefix="1" applyNumberFormat="1" applyFont="1" applyFill="1" applyBorder="1" applyAlignment="1" applyProtection="1">
      <alignment horizontal="center" vertical="center" wrapText="1"/>
      <protection locked="0"/>
    </xf>
    <xf numFmtId="0" fontId="16" fillId="7" borderId="1" xfId="0" applyFont="1" applyFill="1" applyBorder="1" applyAlignment="1">
      <alignment horizontal="center" vertical="center"/>
    </xf>
    <xf numFmtId="3" fontId="30" fillId="2" borderId="1" xfId="1" applyNumberFormat="1" applyFill="1" applyBorder="1" applyAlignment="1" applyProtection="1">
      <alignment horizontal="center" vertical="center" wrapText="1"/>
      <protection locked="0"/>
    </xf>
    <xf numFmtId="14" fontId="16" fillId="2" borderId="1" xfId="0" applyNumberFormat="1" applyFont="1" applyFill="1" applyBorder="1" applyAlignment="1" applyProtection="1">
      <alignment horizontal="center" vertical="center" wrapText="1"/>
      <protection locked="0"/>
    </xf>
    <xf numFmtId="0" fontId="18" fillId="5" borderId="2" xfId="0" applyFont="1" applyFill="1" applyBorder="1" applyAlignment="1">
      <alignment horizontal="center" vertical="center" wrapText="1"/>
    </xf>
    <xf numFmtId="0" fontId="22" fillId="0" borderId="1" xfId="0" applyFont="1" applyBorder="1" applyAlignment="1">
      <alignment horizontal="left" vertical="center" wrapText="1"/>
    </xf>
    <xf numFmtId="0" fontId="22" fillId="2" borderId="1" xfId="0" applyFont="1" applyFill="1" applyBorder="1" applyAlignment="1">
      <alignment horizontal="left" vertical="center" wrapText="1"/>
    </xf>
    <xf numFmtId="0" fontId="0" fillId="0" borderId="1" xfId="0" applyBorder="1" applyAlignment="1">
      <alignment horizontal="center"/>
    </xf>
    <xf numFmtId="0" fontId="6" fillId="0" borderId="1" xfId="0" applyFont="1" applyBorder="1" applyAlignment="1">
      <alignment horizontal="left" vertical="center" wrapText="1"/>
    </xf>
    <xf numFmtId="0" fontId="24" fillId="0" borderId="1" xfId="0" applyFont="1" applyBorder="1" applyAlignment="1">
      <alignment horizontal="left" vertical="center" wrapText="1"/>
    </xf>
    <xf numFmtId="0" fontId="27" fillId="4" borderId="2" xfId="0" applyFont="1" applyFill="1" applyBorder="1" applyAlignment="1">
      <alignment horizontal="right" vertical="center" indent="1"/>
    </xf>
    <xf numFmtId="0" fontId="28" fillId="5" borderId="5" xfId="0" applyFont="1" applyFill="1" applyBorder="1" applyAlignment="1">
      <alignment horizontal="right" vertical="center" indent="1"/>
    </xf>
    <xf numFmtId="0" fontId="11" fillId="5" borderId="2" xfId="0" applyFont="1" applyFill="1" applyBorder="1" applyAlignment="1">
      <alignment horizontal="center" vertical="center" wrapText="1"/>
    </xf>
    <xf numFmtId="0" fontId="25" fillId="0" borderId="0" xfId="0" applyFont="1" applyAlignment="1">
      <alignment horizontal="center" vertical="center" wrapText="1"/>
    </xf>
    <xf numFmtId="0" fontId="13" fillId="3" borderId="2" xfId="0" applyFont="1" applyFill="1" applyBorder="1" applyAlignment="1">
      <alignment horizontal="left" vertical="center" wrapText="1" indent="1"/>
    </xf>
    <xf numFmtId="0" fontId="12" fillId="9" borderId="2" xfId="0" applyFont="1" applyFill="1" applyBorder="1" applyAlignment="1">
      <alignment horizontal="left" vertical="center" wrapText="1" indent="1"/>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000"/>
      <rgbColor rgb="FFFF9900"/>
      <rgbColor rgb="FFFF6600"/>
      <rgbColor rgb="FF595959"/>
      <rgbColor rgb="FF969696"/>
      <rgbColor rgb="FF1F3864"/>
      <rgbColor rgb="FF339966"/>
      <rgbColor rgb="FF003300"/>
      <rgbColor rgb="FF333300"/>
      <rgbColor rgb="FF993300"/>
      <rgbColor rgb="FF993366"/>
      <rgbColor rgb="FF2E598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237960</xdr:colOff>
      <xdr:row>0</xdr:row>
      <xdr:rowOff>57240</xdr:rowOff>
    </xdr:from>
    <xdr:to>
      <xdr:col>1</xdr:col>
      <xdr:colOff>478440</xdr:colOff>
      <xdr:row>0</xdr:row>
      <xdr:rowOff>1131840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37960" y="57240"/>
          <a:ext cx="804240" cy="1074600"/>
        </a:xfrm>
        <a:prstGeom prst="rect">
          <a:avLst/>
        </a:prstGeom>
        <a:ln w="0">
          <a:noFill/>
        </a:ln>
      </xdr:spPr>
    </xdr:pic>
    <xdr:clientData/>
  </xdr:twoCellAnchor>
  <xdr:twoCellAnchor editAs="oneCell">
    <xdr:from>
      <xdr:col>2</xdr:col>
      <xdr:colOff>1200150</xdr:colOff>
      <xdr:row>39</xdr:row>
      <xdr:rowOff>66675</xdr:rowOff>
    </xdr:from>
    <xdr:to>
      <xdr:col>4</xdr:col>
      <xdr:colOff>57150</xdr:colOff>
      <xdr:row>42</xdr:row>
      <xdr:rowOff>173273</xdr:rowOff>
    </xdr:to>
    <xdr:pic>
      <xdr:nvPicPr>
        <xdr:cNvPr id="3" name="Imagen 2">
          <a:extLst>
            <a:ext uri="{FF2B5EF4-FFF2-40B4-BE49-F238E27FC236}">
              <a16:creationId xmlns:a16="http://schemas.microsoft.com/office/drawing/2014/main" id="{2A6BDCC6-25B4-4076-996F-1BB8EC8F90E0}"/>
            </a:ext>
          </a:extLst>
        </xdr:cNvPr>
        <xdr:cNvPicPr>
          <a:picLocks noChangeAspect="1"/>
        </xdr:cNvPicPr>
      </xdr:nvPicPr>
      <xdr:blipFill>
        <a:blip xmlns:r="http://schemas.openxmlformats.org/officeDocument/2006/relationships" r:embed="rId2"/>
        <a:stretch>
          <a:fillRect/>
        </a:stretch>
      </xdr:blipFill>
      <xdr:spPr>
        <a:xfrm>
          <a:off x="5734050" y="13887450"/>
          <a:ext cx="2590800" cy="678098"/>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farid.jabba@sond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43"/>
  <sheetViews>
    <sheetView showGridLines="0" tabSelected="1" topLeftCell="A2" zoomScaleNormal="170" workbookViewId="0">
      <selection activeCell="C35" sqref="C35:E35"/>
    </sheetView>
  </sheetViews>
  <sheetFormatPr baseColWidth="10" defaultColWidth="8.42578125" defaultRowHeight="15" x14ac:dyDescent="0.25"/>
  <cols>
    <col min="1" max="1" width="8" customWidth="1"/>
    <col min="2" max="2" width="60" customWidth="1"/>
    <col min="3" max="3" width="30" customWidth="1"/>
    <col min="4" max="4" width="26" customWidth="1"/>
    <col min="5" max="5" width="14" customWidth="1"/>
  </cols>
  <sheetData>
    <row r="1" spans="1:5" ht="90.75" customHeight="1" x14ac:dyDescent="0.25">
      <c r="A1" s="40" t="s">
        <v>0</v>
      </c>
      <c r="B1" s="40"/>
      <c r="C1" s="40"/>
      <c r="D1" s="40"/>
      <c r="E1" s="40"/>
    </row>
    <row r="2" spans="1:5" ht="16.5" customHeight="1" x14ac:dyDescent="0.25">
      <c r="A2" s="41" t="s">
        <v>1</v>
      </c>
      <c r="B2" s="41"/>
      <c r="C2" s="41"/>
      <c r="D2" s="41"/>
      <c r="E2" s="41"/>
    </row>
    <row r="3" spans="1:5" ht="15" customHeight="1" x14ac:dyDescent="0.25">
      <c r="A3" s="42" t="s">
        <v>2</v>
      </c>
      <c r="B3" s="42"/>
      <c r="C3" s="42"/>
      <c r="D3" s="42"/>
      <c r="E3" s="42"/>
    </row>
    <row r="4" spans="1:5" ht="30" customHeight="1" x14ac:dyDescent="0.25">
      <c r="A4" s="1" t="s">
        <v>3</v>
      </c>
      <c r="B4" s="1" t="s">
        <v>4</v>
      </c>
      <c r="C4" s="1" t="s">
        <v>5</v>
      </c>
      <c r="D4" s="1" t="s">
        <v>6</v>
      </c>
      <c r="E4" s="1" t="s">
        <v>7</v>
      </c>
    </row>
    <row r="5" spans="1:5" ht="25.5" customHeight="1" x14ac:dyDescent="0.25">
      <c r="A5" s="2" t="s">
        <v>8</v>
      </c>
      <c r="B5" s="3" t="s">
        <v>9</v>
      </c>
      <c r="C5" s="4" t="s">
        <v>10</v>
      </c>
      <c r="D5" s="5">
        <f>'D1. Conectividad'!G23</f>
        <v>254544184440</v>
      </c>
      <c r="E5" s="6">
        <f t="shared" ref="E5:E10" si="0">D5/$D$11</f>
        <v>0.25674977340645672</v>
      </c>
    </row>
    <row r="6" spans="1:5" ht="25.5" customHeight="1" x14ac:dyDescent="0.25">
      <c r="A6" s="2" t="s">
        <v>11</v>
      </c>
      <c r="B6" s="3" t="s">
        <v>12</v>
      </c>
      <c r="C6" s="4" t="s">
        <v>13</v>
      </c>
      <c r="D6" s="5">
        <f>'D2. Seguridad'!G30</f>
        <v>219927993784.01416</v>
      </c>
      <c r="E6" s="6">
        <f t="shared" si="0"/>
        <v>0.22183363840745016</v>
      </c>
    </row>
    <row r="7" spans="1:5" ht="25.5" customHeight="1" x14ac:dyDescent="0.25">
      <c r="A7" s="2" t="s">
        <v>14</v>
      </c>
      <c r="B7" s="3" t="s">
        <v>15</v>
      </c>
      <c r="C7" s="4" t="s">
        <v>16</v>
      </c>
      <c r="D7" s="5">
        <f>'D3. Videoconferencia'!G22</f>
        <v>276793803924.15521</v>
      </c>
      <c r="E7" s="6">
        <f t="shared" si="0"/>
        <v>0.27919218266245482</v>
      </c>
    </row>
    <row r="8" spans="1:5" ht="25.5" customHeight="1" x14ac:dyDescent="0.25">
      <c r="A8" s="2" t="s">
        <v>17</v>
      </c>
      <c r="B8" s="3" t="s">
        <v>18</v>
      </c>
      <c r="C8" s="4" t="s">
        <v>19</v>
      </c>
      <c r="D8" s="5">
        <f>'D4. Cableado'!G21</f>
        <v>15942093035.257624</v>
      </c>
      <c r="E8" s="6">
        <f t="shared" si="0"/>
        <v>1.6080228992196285E-2</v>
      </c>
    </row>
    <row r="9" spans="1:5" ht="25.5" customHeight="1" x14ac:dyDescent="0.25">
      <c r="A9" s="2" t="s">
        <v>20</v>
      </c>
      <c r="B9" s="3" t="s">
        <v>21</v>
      </c>
      <c r="C9" s="4" t="s">
        <v>22</v>
      </c>
      <c r="D9" s="5">
        <f>'P6. Perfiles'!J54</f>
        <v>141828510127.44238</v>
      </c>
      <c r="E9" s="6">
        <f t="shared" si="0"/>
        <v>0.14305743389073433</v>
      </c>
    </row>
    <row r="10" spans="1:5" ht="25.5" customHeight="1" x14ac:dyDescent="0.25">
      <c r="A10" s="2" t="s">
        <v>23</v>
      </c>
      <c r="B10" s="3" t="s">
        <v>24</v>
      </c>
      <c r="C10" s="4" t="s">
        <v>25</v>
      </c>
      <c r="D10" s="5">
        <f>'GG. Gastos Generales'!G32</f>
        <v>82372992437.94873</v>
      </c>
      <c r="E10" s="6">
        <f t="shared" si="0"/>
        <v>8.3086742640707686E-2</v>
      </c>
    </row>
    <row r="11" spans="1:5" x14ac:dyDescent="0.25">
      <c r="A11" s="43" t="s">
        <v>26</v>
      </c>
      <c r="B11" s="43"/>
      <c r="C11" s="43"/>
      <c r="D11" s="7">
        <f>SUM(D5:D10)</f>
        <v>991409577748.81812</v>
      </c>
      <c r="E11" s="8" t="s">
        <v>27</v>
      </c>
    </row>
    <row r="12" spans="1:5" x14ac:dyDescent="0.25">
      <c r="A12" s="9"/>
      <c r="B12" s="9"/>
      <c r="C12" s="9"/>
      <c r="D12" s="9"/>
      <c r="E12" s="9"/>
    </row>
    <row r="13" spans="1:5" ht="59.25" customHeight="1" x14ac:dyDescent="0.25">
      <c r="A13" s="44" t="s">
        <v>28</v>
      </c>
      <c r="B13" s="44"/>
      <c r="C13" s="44"/>
      <c r="D13" s="10">
        <f>+D11</f>
        <v>991409577748.81812</v>
      </c>
      <c r="E13" s="11"/>
    </row>
    <row r="14" spans="1:5" x14ac:dyDescent="0.25">
      <c r="A14" s="45" t="s">
        <v>29</v>
      </c>
      <c r="B14" s="45"/>
      <c r="C14" s="45"/>
      <c r="D14" s="12">
        <f>D13/'1. Parámetros'!$B$4</f>
        <v>27539154937.467171</v>
      </c>
      <c r="E14" s="9"/>
    </row>
    <row r="15" spans="1:5" x14ac:dyDescent="0.25">
      <c r="A15" s="45" t="s">
        <v>30</v>
      </c>
      <c r="B15" s="45"/>
      <c r="C15" s="45"/>
      <c r="D15" s="12">
        <f>D13/'1. Parámetros'!$B$5</f>
        <v>1131746093.3205686</v>
      </c>
      <c r="E15" s="9"/>
    </row>
    <row r="17" spans="1:5" ht="15" customHeight="1" x14ac:dyDescent="0.25">
      <c r="A17" s="46" t="s">
        <v>31</v>
      </c>
      <c r="B17" s="46"/>
      <c r="C17" s="46"/>
      <c r="D17" s="46"/>
      <c r="E17" s="46"/>
    </row>
    <row r="18" spans="1:5" ht="30" customHeight="1" x14ac:dyDescent="0.25">
      <c r="A18" s="47" t="s">
        <v>32</v>
      </c>
      <c r="B18" s="47"/>
      <c r="C18" s="47"/>
      <c r="D18" s="47"/>
      <c r="E18" s="47"/>
    </row>
    <row r="19" spans="1:5" ht="30" customHeight="1" x14ac:dyDescent="0.25">
      <c r="A19" s="47" t="s">
        <v>33</v>
      </c>
      <c r="B19" s="47"/>
      <c r="C19" s="47"/>
      <c r="D19" s="47"/>
      <c r="E19" s="47"/>
    </row>
    <row r="20" spans="1:5" ht="30" customHeight="1" x14ac:dyDescent="0.25">
      <c r="A20" s="47" t="s">
        <v>34</v>
      </c>
      <c r="B20" s="47"/>
      <c r="C20" s="47"/>
      <c r="D20" s="47"/>
      <c r="E20" s="47"/>
    </row>
    <row r="21" spans="1:5" ht="30" customHeight="1" x14ac:dyDescent="0.25">
      <c r="A21" s="47" t="s">
        <v>35</v>
      </c>
      <c r="B21" s="47"/>
      <c r="C21" s="47"/>
      <c r="D21" s="47"/>
      <c r="E21" s="47"/>
    </row>
    <row r="22" spans="1:5" ht="16.5" customHeight="1" x14ac:dyDescent="0.25">
      <c r="A22" s="47" t="s">
        <v>36</v>
      </c>
      <c r="B22" s="47"/>
      <c r="C22" s="47"/>
      <c r="D22" s="47"/>
      <c r="E22" s="47"/>
    </row>
    <row r="23" spans="1:5" ht="16.5" customHeight="1" x14ac:dyDescent="0.25">
      <c r="A23" s="47" t="s">
        <v>37</v>
      </c>
      <c r="B23" s="47"/>
      <c r="C23" s="47"/>
      <c r="D23" s="47"/>
      <c r="E23" s="47"/>
    </row>
    <row r="24" spans="1:5" ht="16.5" customHeight="1" x14ac:dyDescent="0.25">
      <c r="A24" s="47" t="s">
        <v>38</v>
      </c>
      <c r="B24" s="47"/>
      <c r="C24" s="47"/>
      <c r="D24" s="47"/>
      <c r="E24" s="47"/>
    </row>
    <row r="25" spans="1:5" ht="16.5" customHeight="1" x14ac:dyDescent="0.25">
      <c r="A25" s="47" t="s">
        <v>39</v>
      </c>
      <c r="B25" s="47"/>
      <c r="C25" s="47"/>
      <c r="D25" s="47"/>
      <c r="E25" s="47"/>
    </row>
    <row r="26" spans="1:5" ht="104.25" customHeight="1" x14ac:dyDescent="0.25">
      <c r="A26" s="48" t="s">
        <v>40</v>
      </c>
      <c r="B26" s="48"/>
      <c r="C26" s="48"/>
      <c r="D26" s="48"/>
      <c r="E26" s="48"/>
    </row>
    <row r="27" spans="1:5" ht="17.25" customHeight="1" x14ac:dyDescent="0.25">
      <c r="A27" s="49" t="s">
        <v>41</v>
      </c>
      <c r="B27" s="49"/>
      <c r="C27" s="49"/>
      <c r="D27" s="49"/>
      <c r="E27" s="49"/>
    </row>
    <row r="28" spans="1:5" ht="16.5" customHeight="1" x14ac:dyDescent="0.3">
      <c r="A28" s="50" t="s">
        <v>42</v>
      </c>
      <c r="B28" s="50"/>
      <c r="C28" s="13"/>
      <c r="D28" s="51"/>
      <c r="E28" s="51"/>
    </row>
    <row r="29" spans="1:5" ht="81" customHeight="1" x14ac:dyDescent="0.25">
      <c r="A29" s="52" t="s">
        <v>43</v>
      </c>
      <c r="B29" s="52"/>
      <c r="C29" s="52"/>
      <c r="D29" s="52"/>
      <c r="E29" s="52"/>
    </row>
    <row r="30" spans="1:5" ht="16.5" customHeight="1" x14ac:dyDescent="0.3">
      <c r="A30" s="50" t="s">
        <v>44</v>
      </c>
      <c r="B30" s="50"/>
      <c r="C30" s="13"/>
      <c r="D30" s="51"/>
      <c r="E30" s="51"/>
    </row>
    <row r="31" spans="1:5" ht="80.25" customHeight="1" x14ac:dyDescent="0.25">
      <c r="A31" s="52" t="s">
        <v>45</v>
      </c>
      <c r="B31" s="52"/>
      <c r="C31" s="52"/>
      <c r="D31" s="52"/>
      <c r="E31" s="52"/>
    </row>
    <row r="32" spans="1:5" ht="16.5" customHeight="1" x14ac:dyDescent="0.25">
      <c r="A32" s="53" t="s">
        <v>46</v>
      </c>
      <c r="B32" s="53"/>
      <c r="C32" s="54" t="s">
        <v>421</v>
      </c>
      <c r="D32" s="54"/>
      <c r="E32" s="54"/>
    </row>
    <row r="33" spans="1:5" ht="16.5" customHeight="1" x14ac:dyDescent="0.25">
      <c r="A33" s="53" t="s">
        <v>422</v>
      </c>
      <c r="B33" s="53"/>
      <c r="C33" s="54" t="s">
        <v>423</v>
      </c>
      <c r="D33" s="54"/>
      <c r="E33" s="54"/>
    </row>
    <row r="34" spans="1:5" ht="16.5" customHeight="1" x14ac:dyDescent="0.25">
      <c r="A34" s="53" t="s">
        <v>47</v>
      </c>
      <c r="B34" s="53"/>
      <c r="C34" s="54" t="s">
        <v>418</v>
      </c>
      <c r="D34" s="54"/>
      <c r="E34" s="54"/>
    </row>
    <row r="35" spans="1:5" ht="16.5" customHeight="1" x14ac:dyDescent="0.25">
      <c r="A35" s="53" t="s">
        <v>48</v>
      </c>
      <c r="B35" s="53"/>
      <c r="C35" s="55" t="s">
        <v>419</v>
      </c>
      <c r="D35" s="54"/>
      <c r="E35" s="54"/>
    </row>
    <row r="36" spans="1:5" ht="16.5" customHeight="1" x14ac:dyDescent="0.25">
      <c r="A36" s="53" t="s">
        <v>49</v>
      </c>
      <c r="B36" s="53"/>
      <c r="C36" s="57" t="s">
        <v>420</v>
      </c>
      <c r="D36" s="54"/>
      <c r="E36" s="54"/>
    </row>
    <row r="37" spans="1:5" ht="16.5" customHeight="1" x14ac:dyDescent="0.25">
      <c r="A37" s="53" t="s">
        <v>50</v>
      </c>
      <c r="B37" s="53"/>
      <c r="C37" s="58">
        <v>46244</v>
      </c>
      <c r="D37" s="58"/>
      <c r="E37" s="58"/>
    </row>
    <row r="38" spans="1:5" ht="16.5" customHeight="1" x14ac:dyDescent="0.25">
      <c r="A38" s="53" t="s">
        <v>51</v>
      </c>
      <c r="B38" s="53"/>
      <c r="C38" s="54" t="s">
        <v>424</v>
      </c>
      <c r="D38" s="54"/>
      <c r="E38" s="54"/>
    </row>
    <row r="39" spans="1:5" ht="16.5" customHeight="1" x14ac:dyDescent="0.25">
      <c r="A39" s="53" t="s">
        <v>52</v>
      </c>
      <c r="B39" s="53"/>
      <c r="C39" s="54" t="s">
        <v>424</v>
      </c>
      <c r="D39" s="54"/>
      <c r="E39" s="54"/>
    </row>
    <row r="40" spans="1:5" x14ac:dyDescent="0.25">
      <c r="A40" s="56" t="s">
        <v>53</v>
      </c>
      <c r="B40" s="56"/>
      <c r="C40" s="54"/>
      <c r="D40" s="54"/>
      <c r="E40" s="54"/>
    </row>
    <row r="41" spans="1:5" x14ac:dyDescent="0.25">
      <c r="A41" s="56"/>
      <c r="B41" s="56"/>
      <c r="C41" s="54"/>
      <c r="D41" s="54"/>
      <c r="E41" s="54"/>
    </row>
    <row r="42" spans="1:5" x14ac:dyDescent="0.25">
      <c r="A42" s="56"/>
      <c r="B42" s="56"/>
      <c r="C42" s="54"/>
      <c r="D42" s="54"/>
      <c r="E42" s="54"/>
    </row>
    <row r="43" spans="1:5" x14ac:dyDescent="0.25">
      <c r="A43" s="56"/>
      <c r="B43" s="56"/>
      <c r="C43" s="54"/>
      <c r="D43" s="54"/>
      <c r="E43" s="54"/>
    </row>
  </sheetData>
  <mergeCells count="42">
    <mergeCell ref="A39:B39"/>
    <mergeCell ref="C39:E39"/>
    <mergeCell ref="A40:B43"/>
    <mergeCell ref="C40:E43"/>
    <mergeCell ref="A36:B36"/>
    <mergeCell ref="C36:E36"/>
    <mergeCell ref="A37:B37"/>
    <mergeCell ref="C37:E37"/>
    <mergeCell ref="A38:B38"/>
    <mergeCell ref="C38:E38"/>
    <mergeCell ref="A33:B33"/>
    <mergeCell ref="C33:E33"/>
    <mergeCell ref="A34:B34"/>
    <mergeCell ref="C34:E34"/>
    <mergeCell ref="A35:B35"/>
    <mergeCell ref="C35:E35"/>
    <mergeCell ref="A29:E29"/>
    <mergeCell ref="A30:B30"/>
    <mergeCell ref="D30:E30"/>
    <mergeCell ref="A31:E31"/>
    <mergeCell ref="A32:B32"/>
    <mergeCell ref="C32:E32"/>
    <mergeCell ref="A25:E25"/>
    <mergeCell ref="A26:E26"/>
    <mergeCell ref="A27:E27"/>
    <mergeCell ref="A28:B28"/>
    <mergeCell ref="D28:E28"/>
    <mergeCell ref="A20:E20"/>
    <mergeCell ref="A21:E21"/>
    <mergeCell ref="A22:E22"/>
    <mergeCell ref="A23:E23"/>
    <mergeCell ref="A24:E24"/>
    <mergeCell ref="A14:C14"/>
    <mergeCell ref="A15:C15"/>
    <mergeCell ref="A17:E17"/>
    <mergeCell ref="A18:E18"/>
    <mergeCell ref="A19:E19"/>
    <mergeCell ref="A1:E1"/>
    <mergeCell ref="A2:E2"/>
    <mergeCell ref="A3:E3"/>
    <mergeCell ref="A11:C11"/>
    <mergeCell ref="A13:C13"/>
  </mergeCells>
  <hyperlinks>
    <hyperlink ref="C36" r:id="rId1" xr:uid="{674EAFD5-5E27-5C40-A675-CD8963FB1A18}"/>
  </hyperlinks>
  <printOptions horizontalCentered="1"/>
  <pageMargins left="0.75" right="0.75" top="1" bottom="1" header="0.511811023622047" footer="0.511811023622047"/>
  <pageSetup fitToHeight="0" orientation="landscape"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51"/>
  <sheetViews>
    <sheetView showGridLines="0" topLeftCell="A37" zoomScaleNormal="100" workbookViewId="0">
      <selection activeCell="H1" sqref="H1"/>
    </sheetView>
  </sheetViews>
  <sheetFormatPr baseColWidth="10" defaultColWidth="8.42578125" defaultRowHeight="15" x14ac:dyDescent="0.25"/>
  <cols>
    <col min="1" max="1" width="48" customWidth="1"/>
    <col min="2" max="2" width="16" customWidth="1"/>
    <col min="3" max="3" width="14" customWidth="1"/>
    <col min="4" max="4" width="58" customWidth="1"/>
  </cols>
  <sheetData>
    <row r="1" spans="1:4" ht="31.5" customHeight="1" x14ac:dyDescent="0.25">
      <c r="A1" s="59" t="s">
        <v>54</v>
      </c>
      <c r="B1" s="59"/>
      <c r="C1" s="59"/>
      <c r="D1" s="59"/>
    </row>
    <row r="3" spans="1:4" ht="21.75" customHeight="1" x14ac:dyDescent="0.25">
      <c r="A3" s="1" t="s">
        <v>55</v>
      </c>
      <c r="B3" s="1" t="s">
        <v>56</v>
      </c>
      <c r="C3" s="1" t="s">
        <v>57</v>
      </c>
      <c r="D3" s="1" t="s">
        <v>58</v>
      </c>
    </row>
    <row r="4" spans="1:4" x14ac:dyDescent="0.25">
      <c r="A4" s="14" t="s">
        <v>59</v>
      </c>
      <c r="B4" s="15">
        <v>36</v>
      </c>
      <c r="C4" s="16" t="s">
        <v>60</v>
      </c>
      <c r="D4" s="4" t="s">
        <v>61</v>
      </c>
    </row>
    <row r="5" spans="1:4" ht="25.5" x14ac:dyDescent="0.25">
      <c r="A5" s="14" t="s">
        <v>62</v>
      </c>
      <c r="B5" s="15">
        <v>876</v>
      </c>
      <c r="C5" s="16" t="s">
        <v>63</v>
      </c>
      <c r="D5" s="4" t="s">
        <v>64</v>
      </c>
    </row>
    <row r="6" spans="1:4" x14ac:dyDescent="0.25">
      <c r="A6" s="14" t="s">
        <v>65</v>
      </c>
      <c r="B6" s="15">
        <v>2</v>
      </c>
      <c r="C6" s="16" t="s">
        <v>66</v>
      </c>
      <c r="D6" s="4" t="s">
        <v>67</v>
      </c>
    </row>
    <row r="7" spans="1:4" x14ac:dyDescent="0.25">
      <c r="A7" s="14" t="s">
        <v>68</v>
      </c>
      <c r="B7" s="15">
        <v>765</v>
      </c>
      <c r="C7" s="16" t="s">
        <v>63</v>
      </c>
      <c r="D7" s="4" t="s">
        <v>69</v>
      </c>
    </row>
    <row r="8" spans="1:4" x14ac:dyDescent="0.25">
      <c r="A8" s="14" t="s">
        <v>70</v>
      </c>
      <c r="B8" s="15">
        <v>86</v>
      </c>
      <c r="C8" s="16" t="s">
        <v>63</v>
      </c>
      <c r="D8" s="4" t="s">
        <v>71</v>
      </c>
    </row>
    <row r="9" spans="1:4" x14ac:dyDescent="0.25">
      <c r="A9" s="14" t="s">
        <v>72</v>
      </c>
      <c r="B9" s="15">
        <v>25</v>
      </c>
      <c r="C9" s="16" t="s">
        <v>63</v>
      </c>
      <c r="D9" s="4" t="s">
        <v>73</v>
      </c>
    </row>
    <row r="10" spans="1:4" x14ac:dyDescent="0.25">
      <c r="A10" s="14" t="s">
        <v>74</v>
      </c>
      <c r="B10" s="15">
        <v>4</v>
      </c>
      <c r="C10" s="16" t="s">
        <v>75</v>
      </c>
      <c r="D10" s="4" t="s">
        <v>76</v>
      </c>
    </row>
    <row r="11" spans="1:4" ht="25.5" x14ac:dyDescent="0.25">
      <c r="A11" s="14" t="s">
        <v>77</v>
      </c>
      <c r="B11" s="15">
        <v>4</v>
      </c>
      <c r="C11" s="16" t="s">
        <v>75</v>
      </c>
      <c r="D11" s="4" t="s">
        <v>78</v>
      </c>
    </row>
    <row r="12" spans="1:4" x14ac:dyDescent="0.25">
      <c r="A12" s="14" t="s">
        <v>79</v>
      </c>
      <c r="B12" s="15">
        <v>30000</v>
      </c>
      <c r="C12" s="16" t="s">
        <v>80</v>
      </c>
      <c r="D12" s="4" t="s">
        <v>81</v>
      </c>
    </row>
    <row r="13" spans="1:4" x14ac:dyDescent="0.25">
      <c r="A13" s="14" t="s">
        <v>82</v>
      </c>
      <c r="B13" s="15">
        <v>26000</v>
      </c>
      <c r="C13" s="16" t="s">
        <v>83</v>
      </c>
      <c r="D13" s="4" t="s">
        <v>84</v>
      </c>
    </row>
    <row r="14" spans="1:4" ht="25.5" x14ac:dyDescent="0.25">
      <c r="A14" s="14" t="s">
        <v>85</v>
      </c>
      <c r="B14" s="15">
        <v>500</v>
      </c>
      <c r="C14" s="16" t="s">
        <v>86</v>
      </c>
      <c r="D14" s="4" t="s">
        <v>87</v>
      </c>
    </row>
    <row r="15" spans="1:4" x14ac:dyDescent="0.25">
      <c r="A15" s="14" t="s">
        <v>88</v>
      </c>
      <c r="B15" s="15">
        <v>1500</v>
      </c>
      <c r="C15" s="16" t="s">
        <v>89</v>
      </c>
      <c r="D15" s="4" t="s">
        <v>90</v>
      </c>
    </row>
    <row r="16" spans="1:4" ht="25.5" x14ac:dyDescent="0.25">
      <c r="A16" s="14" t="s">
        <v>91</v>
      </c>
      <c r="B16" s="15">
        <v>2000</v>
      </c>
      <c r="C16" s="16" t="s">
        <v>92</v>
      </c>
      <c r="D16" s="4" t="s">
        <v>93</v>
      </c>
    </row>
    <row r="17" spans="1:4" x14ac:dyDescent="0.25">
      <c r="A17" s="14" t="s">
        <v>94</v>
      </c>
      <c r="B17" s="15">
        <v>4</v>
      </c>
      <c r="C17" s="16" t="s">
        <v>95</v>
      </c>
      <c r="D17" s="4" t="s">
        <v>96</v>
      </c>
    </row>
    <row r="18" spans="1:4" ht="25.5" x14ac:dyDescent="0.25">
      <c r="A18" s="14" t="s">
        <v>97</v>
      </c>
      <c r="B18" s="15">
        <v>31</v>
      </c>
      <c r="C18" s="16" t="s">
        <v>98</v>
      </c>
      <c r="D18" s="4" t="s">
        <v>99</v>
      </c>
    </row>
    <row r="19" spans="1:4" x14ac:dyDescent="0.25">
      <c r="A19" s="14" t="s">
        <v>100</v>
      </c>
      <c r="B19" s="15">
        <v>7</v>
      </c>
      <c r="C19" s="16" t="s">
        <v>98</v>
      </c>
      <c r="D19" s="4" t="s">
        <v>101</v>
      </c>
    </row>
    <row r="20" spans="1:4" x14ac:dyDescent="0.25">
      <c r="A20" s="14" t="s">
        <v>102</v>
      </c>
      <c r="B20" s="15">
        <v>3</v>
      </c>
      <c r="C20" s="16" t="s">
        <v>98</v>
      </c>
      <c r="D20" s="4" t="s">
        <v>103</v>
      </c>
    </row>
    <row r="21" spans="1:4" x14ac:dyDescent="0.25">
      <c r="A21" s="14" t="s">
        <v>104</v>
      </c>
      <c r="B21" s="15">
        <v>45</v>
      </c>
      <c r="C21" s="16" t="s">
        <v>98</v>
      </c>
      <c r="D21" s="4" t="s">
        <v>101</v>
      </c>
    </row>
    <row r="22" spans="1:4" x14ac:dyDescent="0.25">
      <c r="A22" s="14" t="s">
        <v>105</v>
      </c>
      <c r="B22" s="15">
        <v>7</v>
      </c>
      <c r="C22" s="16" t="s">
        <v>106</v>
      </c>
      <c r="D22" s="4" t="s">
        <v>101</v>
      </c>
    </row>
    <row r="23" spans="1:4" x14ac:dyDescent="0.25">
      <c r="A23" s="14" t="s">
        <v>107</v>
      </c>
      <c r="B23" s="15">
        <v>20</v>
      </c>
      <c r="C23" s="16" t="s">
        <v>106</v>
      </c>
      <c r="D23" s="4" t="s">
        <v>108</v>
      </c>
    </row>
    <row r="24" spans="1:4" x14ac:dyDescent="0.25">
      <c r="A24" s="14" t="s">
        <v>109</v>
      </c>
      <c r="B24" s="15">
        <v>6000</v>
      </c>
      <c r="C24" s="16" t="s">
        <v>110</v>
      </c>
      <c r="D24" s="4" t="s">
        <v>111</v>
      </c>
    </row>
    <row r="25" spans="1:4" x14ac:dyDescent="0.25">
      <c r="A25" s="14" t="s">
        <v>112</v>
      </c>
      <c r="B25" s="15">
        <v>1000</v>
      </c>
      <c r="C25" s="16" t="s">
        <v>110</v>
      </c>
      <c r="D25" s="4" t="s">
        <v>111</v>
      </c>
    </row>
    <row r="26" spans="1:4" x14ac:dyDescent="0.25">
      <c r="A26" s="14" t="s">
        <v>113</v>
      </c>
      <c r="B26" s="15">
        <v>6</v>
      </c>
      <c r="C26" s="16" t="s">
        <v>114</v>
      </c>
      <c r="D26" s="4" t="s">
        <v>115</v>
      </c>
    </row>
    <row r="27" spans="1:4" x14ac:dyDescent="0.25">
      <c r="A27" s="14" t="s">
        <v>116</v>
      </c>
      <c r="B27" s="15">
        <v>10</v>
      </c>
      <c r="C27" s="16" t="s">
        <v>60</v>
      </c>
      <c r="D27" s="4" t="s">
        <v>117</v>
      </c>
    </row>
    <row r="28" spans="1:4" x14ac:dyDescent="0.25">
      <c r="A28" s="14" t="s">
        <v>118</v>
      </c>
      <c r="B28" s="17">
        <v>1.85</v>
      </c>
      <c r="C28" s="16" t="s">
        <v>119</v>
      </c>
      <c r="D28" s="4" t="s">
        <v>120</v>
      </c>
    </row>
    <row r="29" spans="1:4" x14ac:dyDescent="0.25">
      <c r="A29" s="14" t="s">
        <v>121</v>
      </c>
      <c r="B29" s="18">
        <v>0.02</v>
      </c>
      <c r="C29" s="16" t="s">
        <v>122</v>
      </c>
      <c r="D29" s="4" t="s">
        <v>123</v>
      </c>
    </row>
    <row r="30" spans="1:4" x14ac:dyDescent="0.25">
      <c r="A30" s="14" t="s">
        <v>124</v>
      </c>
      <c r="B30" s="18">
        <v>0.08</v>
      </c>
      <c r="C30" s="16" t="s">
        <v>122</v>
      </c>
      <c r="D30" s="4" t="s">
        <v>125</v>
      </c>
    </row>
    <row r="31" spans="1:4" x14ac:dyDescent="0.25">
      <c r="A31" s="14" t="s">
        <v>126</v>
      </c>
      <c r="B31" s="18">
        <v>7.0000000000000007E-2</v>
      </c>
      <c r="C31" s="16" t="s">
        <v>122</v>
      </c>
      <c r="D31" s="4" t="s">
        <v>125</v>
      </c>
    </row>
    <row r="32" spans="1:4" x14ac:dyDescent="0.25">
      <c r="A32" s="14" t="s">
        <v>127</v>
      </c>
      <c r="B32" s="18">
        <v>0.19</v>
      </c>
      <c r="C32" s="16" t="s">
        <v>122</v>
      </c>
      <c r="D32" s="4" t="s">
        <v>128</v>
      </c>
    </row>
    <row r="33" spans="1:4" ht="25.5" x14ac:dyDescent="0.25">
      <c r="A33" s="14" t="s">
        <v>129</v>
      </c>
      <c r="B33" s="19">
        <v>35000</v>
      </c>
      <c r="C33" s="16" t="s">
        <v>130</v>
      </c>
      <c r="D33" s="4" t="s">
        <v>131</v>
      </c>
    </row>
    <row r="34" spans="1:4" ht="15" customHeight="1" x14ac:dyDescent="0.25">
      <c r="A34" s="14" t="s">
        <v>132</v>
      </c>
      <c r="B34" s="19">
        <v>30000</v>
      </c>
      <c r="C34" s="16" t="s">
        <v>80</v>
      </c>
      <c r="D34" s="4" t="s">
        <v>133</v>
      </c>
    </row>
    <row r="35" spans="1:4" ht="27.75" customHeight="1" x14ac:dyDescent="0.25">
      <c r="A35" s="14" t="s">
        <v>134</v>
      </c>
      <c r="B35" s="19">
        <v>4</v>
      </c>
      <c r="C35" s="16" t="s">
        <v>135</v>
      </c>
      <c r="D35" s="4" t="s">
        <v>136</v>
      </c>
    </row>
    <row r="36" spans="1:4" ht="27.75" customHeight="1" x14ac:dyDescent="0.25"/>
    <row r="37" spans="1:4" ht="27.75" customHeight="1" x14ac:dyDescent="0.25">
      <c r="A37" s="46" t="s">
        <v>137</v>
      </c>
      <c r="B37" s="46"/>
      <c r="C37" s="46"/>
      <c r="D37" s="46"/>
    </row>
    <row r="38" spans="1:4" ht="27.75" customHeight="1" x14ac:dyDescent="0.25">
      <c r="A38" s="60" t="s">
        <v>138</v>
      </c>
      <c r="B38" s="60"/>
      <c r="C38" s="60"/>
      <c r="D38" s="60"/>
    </row>
    <row r="39" spans="1:4" ht="27.75" customHeight="1" x14ac:dyDescent="0.25">
      <c r="A39" s="61" t="s">
        <v>139</v>
      </c>
      <c r="B39" s="61"/>
      <c r="C39" s="61"/>
      <c r="D39" s="61"/>
    </row>
    <row r="40" spans="1:4" ht="27.75" customHeight="1" x14ac:dyDescent="0.25">
      <c r="A40" s="60" t="s">
        <v>140</v>
      </c>
      <c r="B40" s="60"/>
      <c r="C40" s="60"/>
      <c r="D40" s="60"/>
    </row>
    <row r="41" spans="1:4" ht="15" customHeight="1" x14ac:dyDescent="0.25">
      <c r="A41" s="60" t="s">
        <v>141</v>
      </c>
      <c r="B41" s="60"/>
      <c r="C41" s="60"/>
      <c r="D41" s="60"/>
    </row>
    <row r="42" spans="1:4" ht="15" customHeight="1" x14ac:dyDescent="0.25">
      <c r="A42" s="60" t="s">
        <v>142</v>
      </c>
      <c r="B42" s="60"/>
      <c r="C42" s="60"/>
      <c r="D42" s="60"/>
    </row>
    <row r="43" spans="1:4" ht="15" customHeight="1" x14ac:dyDescent="0.25">
      <c r="A43" s="60" t="s">
        <v>143</v>
      </c>
      <c r="B43" s="60"/>
      <c r="C43" s="60"/>
      <c r="D43" s="60"/>
    </row>
    <row r="44" spans="1:4" ht="15" customHeight="1" x14ac:dyDescent="0.25">
      <c r="A44" s="20" t="s">
        <v>144</v>
      </c>
      <c r="B44" s="21"/>
      <c r="C44" s="21"/>
      <c r="D44" s="22"/>
    </row>
    <row r="45" spans="1:4" ht="15" customHeight="1" x14ac:dyDescent="0.25">
      <c r="A45" s="62"/>
      <c r="B45" s="62"/>
      <c r="C45" s="62"/>
      <c r="D45" s="62"/>
    </row>
    <row r="46" spans="1:4" ht="15" customHeight="1" x14ac:dyDescent="0.25">
      <c r="A46" s="46" t="s">
        <v>145</v>
      </c>
      <c r="B46" s="46"/>
      <c r="C46" s="46"/>
      <c r="D46" s="46"/>
    </row>
    <row r="47" spans="1:4" ht="15" customHeight="1" x14ac:dyDescent="0.25">
      <c r="A47" s="23" t="s">
        <v>146</v>
      </c>
      <c r="B47" s="63" t="s">
        <v>147</v>
      </c>
      <c r="C47" s="63"/>
      <c r="D47" s="63"/>
    </row>
    <row r="48" spans="1:4" ht="15" customHeight="1" x14ac:dyDescent="0.25">
      <c r="A48" s="24" t="s">
        <v>148</v>
      </c>
      <c r="B48" s="63" t="s">
        <v>149</v>
      </c>
      <c r="C48" s="63"/>
      <c r="D48" s="63"/>
    </row>
    <row r="49" spans="1:4" ht="15" customHeight="1" x14ac:dyDescent="0.25">
      <c r="A49" s="25" t="s">
        <v>150</v>
      </c>
      <c r="B49" s="64" t="s">
        <v>151</v>
      </c>
      <c r="C49" s="64"/>
      <c r="D49" s="64"/>
    </row>
    <row r="50" spans="1:4" ht="15" customHeight="1" x14ac:dyDescent="0.25">
      <c r="A50" s="26" t="s">
        <v>152</v>
      </c>
      <c r="B50" s="63" t="s">
        <v>153</v>
      </c>
      <c r="C50" s="63"/>
      <c r="D50" s="63"/>
    </row>
    <row r="51" spans="1:4" ht="15" customHeight="1" x14ac:dyDescent="0.25">
      <c r="A51" s="27" t="s">
        <v>154</v>
      </c>
      <c r="B51" s="63" t="s">
        <v>155</v>
      </c>
      <c r="C51" s="63"/>
      <c r="D51" s="63"/>
    </row>
  </sheetData>
  <mergeCells count="15">
    <mergeCell ref="B47:D47"/>
    <mergeCell ref="B48:D48"/>
    <mergeCell ref="B49:D49"/>
    <mergeCell ref="B50:D50"/>
    <mergeCell ref="B51:D51"/>
    <mergeCell ref="A41:D41"/>
    <mergeCell ref="A42:D42"/>
    <mergeCell ref="A43:D43"/>
    <mergeCell ref="A45:D45"/>
    <mergeCell ref="A46:D46"/>
    <mergeCell ref="A1:D1"/>
    <mergeCell ref="A37:D37"/>
    <mergeCell ref="A38:D38"/>
    <mergeCell ref="A39:D39"/>
    <mergeCell ref="A40:D40"/>
  </mergeCells>
  <printOptions horizontalCentered="1"/>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3"/>
  <sheetViews>
    <sheetView topLeftCell="B18" zoomScaleNormal="100" workbookViewId="0">
      <selection activeCell="G28" sqref="G28"/>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7" t="s">
        <v>156</v>
      </c>
      <c r="B1" s="67"/>
      <c r="C1" s="67"/>
      <c r="D1" s="67"/>
      <c r="E1" s="67"/>
      <c r="F1" s="67"/>
      <c r="G1" s="67"/>
      <c r="H1" s="67"/>
    </row>
    <row r="2" spans="1:8" ht="15" customHeight="1" x14ac:dyDescent="0.25">
      <c r="A2" s="68" t="s">
        <v>157</v>
      </c>
      <c r="B2" s="68"/>
      <c r="C2" s="68"/>
      <c r="D2" s="68"/>
      <c r="E2" s="68"/>
      <c r="F2" s="68"/>
      <c r="G2" s="68"/>
      <c r="H2" s="68"/>
    </row>
    <row r="4" spans="1:8" ht="37.5" customHeight="1" x14ac:dyDescent="0.25">
      <c r="A4" s="1" t="s">
        <v>3</v>
      </c>
      <c r="B4" s="1" t="s">
        <v>158</v>
      </c>
      <c r="C4" s="1" t="s">
        <v>57</v>
      </c>
      <c r="D4" s="1" t="s">
        <v>159</v>
      </c>
      <c r="E4" s="1" t="s">
        <v>160</v>
      </c>
      <c r="F4" s="1" t="s">
        <v>161</v>
      </c>
      <c r="G4" s="1" t="s">
        <v>162</v>
      </c>
      <c r="H4" s="1" t="s">
        <v>163</v>
      </c>
    </row>
    <row r="5" spans="1:8" ht="15" customHeight="1" x14ac:dyDescent="0.25">
      <c r="A5" s="69" t="s">
        <v>164</v>
      </c>
      <c r="B5" s="69"/>
      <c r="C5" s="69"/>
      <c r="D5" s="69"/>
      <c r="E5" s="69"/>
      <c r="F5" s="69"/>
      <c r="G5" s="69"/>
      <c r="H5" s="69"/>
    </row>
    <row r="6" spans="1:8" ht="31.5" customHeight="1" x14ac:dyDescent="0.25">
      <c r="A6" s="28">
        <v>1</v>
      </c>
      <c r="B6" s="14" t="s">
        <v>165</v>
      </c>
      <c r="C6" s="16" t="s">
        <v>166</v>
      </c>
      <c r="D6" s="29">
        <f>'1. Parámetros'!$B$6</f>
        <v>2</v>
      </c>
      <c r="E6" s="30">
        <v>126177187.5</v>
      </c>
      <c r="F6" s="29">
        <f>'1. Parámetros'!$B$4</f>
        <v>36</v>
      </c>
      <c r="G6" s="31">
        <f t="shared" ref="G6:G11" si="0">D6*E6*F6</f>
        <v>9084757500</v>
      </c>
      <c r="H6" s="4" t="s">
        <v>67</v>
      </c>
    </row>
    <row r="7" spans="1:8" ht="31.5" customHeight="1" x14ac:dyDescent="0.25">
      <c r="A7" s="28">
        <v>2</v>
      </c>
      <c r="B7" s="14" t="s">
        <v>167</v>
      </c>
      <c r="C7" s="16" t="s">
        <v>168</v>
      </c>
      <c r="D7" s="29">
        <f>'1. Parámetros'!$B$7</f>
        <v>765</v>
      </c>
      <c r="E7" s="30">
        <v>7332780</v>
      </c>
      <c r="F7" s="29">
        <f>'1. Parámetros'!$B$4</f>
        <v>36</v>
      </c>
      <c r="G7" s="31">
        <f t="shared" si="0"/>
        <v>201944761200</v>
      </c>
      <c r="H7" s="4" t="s">
        <v>169</v>
      </c>
    </row>
    <row r="8" spans="1:8" ht="31.5" customHeight="1" x14ac:dyDescent="0.25">
      <c r="A8" s="28">
        <v>3</v>
      </c>
      <c r="B8" s="14" t="s">
        <v>170</v>
      </c>
      <c r="C8" s="16" t="s">
        <v>168</v>
      </c>
      <c r="D8" s="29">
        <f>'1. Parámetros'!$B$8</f>
        <v>86</v>
      </c>
      <c r="E8" s="30">
        <v>8075340</v>
      </c>
      <c r="F8" s="29">
        <f>'1. Parámetros'!$B$4</f>
        <v>36</v>
      </c>
      <c r="G8" s="31">
        <f t="shared" si="0"/>
        <v>25001252640</v>
      </c>
      <c r="H8" s="4" t="s">
        <v>171</v>
      </c>
    </row>
    <row r="9" spans="1:8" ht="31.5" customHeight="1" x14ac:dyDescent="0.25">
      <c r="A9" s="28">
        <v>4</v>
      </c>
      <c r="B9" s="14" t="s">
        <v>172</v>
      </c>
      <c r="C9" s="16" t="s">
        <v>168</v>
      </c>
      <c r="D9" s="29">
        <f>'1. Parámetros'!$B$9</f>
        <v>25</v>
      </c>
      <c r="E9" s="30">
        <v>3271905</v>
      </c>
      <c r="F9" s="29">
        <f>'1. Parámetros'!$B$4</f>
        <v>36</v>
      </c>
      <c r="G9" s="31">
        <f t="shared" si="0"/>
        <v>2944714500</v>
      </c>
      <c r="H9" s="4" t="s">
        <v>173</v>
      </c>
    </row>
    <row r="10" spans="1:8" ht="31.5" customHeight="1" x14ac:dyDescent="0.25">
      <c r="A10" s="28">
        <v>5</v>
      </c>
      <c r="B10" s="14" t="s">
        <v>174</v>
      </c>
      <c r="C10" s="16" t="s">
        <v>175</v>
      </c>
      <c r="D10" s="29">
        <f>'1. Parámetros'!$B$10</f>
        <v>4</v>
      </c>
      <c r="E10" s="30">
        <v>50122800</v>
      </c>
      <c r="F10" s="29">
        <f>'1. Parámetros'!$B$4</f>
        <v>36</v>
      </c>
      <c r="G10" s="31">
        <f t="shared" si="0"/>
        <v>7217683200</v>
      </c>
      <c r="H10" s="4" t="s">
        <v>176</v>
      </c>
    </row>
    <row r="11" spans="1:8" ht="31.5" customHeight="1" x14ac:dyDescent="0.25">
      <c r="A11" s="28">
        <v>6</v>
      </c>
      <c r="B11" s="14" t="s">
        <v>177</v>
      </c>
      <c r="C11" s="16" t="s">
        <v>175</v>
      </c>
      <c r="D11" s="29">
        <f>'1. Parámetros'!$B$11</f>
        <v>4</v>
      </c>
      <c r="E11" s="30">
        <v>16707600</v>
      </c>
      <c r="F11" s="29">
        <f>'1. Parámetros'!$B$4</f>
        <v>36</v>
      </c>
      <c r="G11" s="31">
        <f t="shared" si="0"/>
        <v>2405894400</v>
      </c>
      <c r="H11" s="4" t="s">
        <v>178</v>
      </c>
    </row>
    <row r="12" spans="1:8" x14ac:dyDescent="0.25">
      <c r="A12" s="65" t="s">
        <v>179</v>
      </c>
      <c r="B12" s="65"/>
      <c r="C12" s="65"/>
      <c r="D12" s="65"/>
      <c r="E12" s="65"/>
      <c r="F12" s="65"/>
      <c r="G12" s="7">
        <f>SUM(G6:G11)</f>
        <v>248599063440</v>
      </c>
      <c r="H12" s="32"/>
    </row>
    <row r="14" spans="1:8" ht="15" customHeight="1" x14ac:dyDescent="0.25">
      <c r="A14" s="69" t="s">
        <v>180</v>
      </c>
      <c r="B14" s="69"/>
      <c r="C14" s="69"/>
      <c r="D14" s="69"/>
      <c r="E14" s="69"/>
      <c r="F14" s="69"/>
      <c r="G14" s="69"/>
      <c r="H14" s="69"/>
    </row>
    <row r="15" spans="1:8" ht="31.5" customHeight="1" x14ac:dyDescent="0.25">
      <c r="A15" s="28">
        <v>1</v>
      </c>
      <c r="B15" s="14" t="s">
        <v>181</v>
      </c>
      <c r="C15" s="16" t="s">
        <v>182</v>
      </c>
      <c r="D15" s="15">
        <v>20</v>
      </c>
      <c r="E15" s="30">
        <v>39680550</v>
      </c>
      <c r="F15" s="15">
        <v>1</v>
      </c>
      <c r="G15" s="31">
        <f t="shared" ref="G15:G20" si="1">D15*E15*F15</f>
        <v>793611000</v>
      </c>
      <c r="H15" s="4" t="s">
        <v>183</v>
      </c>
    </row>
    <row r="16" spans="1:8" ht="31.5" customHeight="1" x14ac:dyDescent="0.25">
      <c r="A16" s="28">
        <v>2</v>
      </c>
      <c r="B16" s="14" t="s">
        <v>184</v>
      </c>
      <c r="C16" s="16" t="s">
        <v>185</v>
      </c>
      <c r="D16" s="15">
        <v>20</v>
      </c>
      <c r="E16" s="30">
        <v>2436525</v>
      </c>
      <c r="F16" s="15">
        <v>36</v>
      </c>
      <c r="G16" s="31">
        <f t="shared" si="1"/>
        <v>1754298000</v>
      </c>
      <c r="H16" s="4" t="s">
        <v>186</v>
      </c>
    </row>
    <row r="17" spans="1:8" ht="31.5" customHeight="1" x14ac:dyDescent="0.25">
      <c r="A17" s="28">
        <v>3</v>
      </c>
      <c r="B17" s="14" t="s">
        <v>187</v>
      </c>
      <c r="C17" s="16" t="s">
        <v>188</v>
      </c>
      <c r="D17" s="15">
        <v>1</v>
      </c>
      <c r="E17" s="30">
        <v>80753400</v>
      </c>
      <c r="F17" s="15">
        <v>1</v>
      </c>
      <c r="G17" s="31">
        <f t="shared" si="1"/>
        <v>80753400</v>
      </c>
      <c r="H17" s="4" t="s">
        <v>189</v>
      </c>
    </row>
    <row r="18" spans="1:8" ht="31.5" customHeight="1" x14ac:dyDescent="0.25">
      <c r="A18" s="28">
        <v>4</v>
      </c>
      <c r="B18" s="14" t="s">
        <v>190</v>
      </c>
      <c r="C18" s="16" t="s">
        <v>191</v>
      </c>
      <c r="D18" s="15">
        <v>1</v>
      </c>
      <c r="E18" s="30">
        <v>58476600</v>
      </c>
      <c r="F18" s="15">
        <v>36</v>
      </c>
      <c r="G18" s="31">
        <f t="shared" si="1"/>
        <v>2105157600</v>
      </c>
      <c r="H18" s="4" t="s">
        <v>192</v>
      </c>
    </row>
    <row r="19" spans="1:8" ht="31.5" customHeight="1" x14ac:dyDescent="0.25">
      <c r="A19" s="28">
        <v>5</v>
      </c>
      <c r="B19" s="14" t="s">
        <v>193</v>
      </c>
      <c r="C19" s="16" t="s">
        <v>194</v>
      </c>
      <c r="D19" s="15">
        <v>3</v>
      </c>
      <c r="E19" s="30">
        <v>334152000</v>
      </c>
      <c r="F19" s="15">
        <v>1</v>
      </c>
      <c r="G19" s="31">
        <f t="shared" si="1"/>
        <v>1002456000</v>
      </c>
      <c r="H19" s="4" t="s">
        <v>195</v>
      </c>
    </row>
    <row r="20" spans="1:8" ht="31.5" customHeight="1" x14ac:dyDescent="0.25">
      <c r="A20" s="28">
        <v>6</v>
      </c>
      <c r="B20" s="14" t="s">
        <v>196</v>
      </c>
      <c r="C20" s="16" t="s">
        <v>197</v>
      </c>
      <c r="D20" s="15">
        <v>12</v>
      </c>
      <c r="E20" s="30">
        <v>17403750</v>
      </c>
      <c r="F20" s="15">
        <v>1</v>
      </c>
      <c r="G20" s="31">
        <f t="shared" si="1"/>
        <v>208845000</v>
      </c>
      <c r="H20" s="4" t="s">
        <v>198</v>
      </c>
    </row>
    <row r="21" spans="1:8" x14ac:dyDescent="0.25">
      <c r="A21" s="65" t="s">
        <v>199</v>
      </c>
      <c r="B21" s="65"/>
      <c r="C21" s="65"/>
      <c r="D21" s="65"/>
      <c r="E21" s="65"/>
      <c r="F21" s="65"/>
      <c r="G21" s="7">
        <f>SUM(G15:G20)</f>
        <v>5945121000</v>
      </c>
      <c r="H21" s="32"/>
    </row>
    <row r="23" spans="1:8" ht="30" customHeight="1" x14ac:dyDescent="0.25">
      <c r="A23" s="66" t="s">
        <v>200</v>
      </c>
      <c r="B23" s="66"/>
      <c r="C23" s="66"/>
      <c r="D23" s="66"/>
      <c r="E23" s="66"/>
      <c r="F23" s="66"/>
      <c r="G23" s="33">
        <f>G12+G21</f>
        <v>254544184440</v>
      </c>
      <c r="H23" s="34"/>
    </row>
  </sheetData>
  <mergeCells count="7">
    <mergeCell ref="A21:F21"/>
    <mergeCell ref="A23:F23"/>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30"/>
  <sheetViews>
    <sheetView topLeftCell="B24" zoomScale="130" zoomScaleNormal="130" workbookViewId="0">
      <selection activeCell="E15" sqref="E15:E26"/>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7" t="s">
        <v>201</v>
      </c>
      <c r="B1" s="67"/>
      <c r="C1" s="67"/>
      <c r="D1" s="67"/>
      <c r="E1" s="67"/>
      <c r="F1" s="67"/>
      <c r="G1" s="67"/>
      <c r="H1" s="67"/>
    </row>
    <row r="2" spans="1:8" ht="15" customHeight="1" x14ac:dyDescent="0.25">
      <c r="A2" s="68" t="s">
        <v>202</v>
      </c>
      <c r="B2" s="68"/>
      <c r="C2" s="68"/>
      <c r="D2" s="68"/>
      <c r="E2" s="68"/>
      <c r="F2" s="68"/>
      <c r="G2" s="68"/>
      <c r="H2" s="68"/>
    </row>
    <row r="4" spans="1:8" ht="37.5" customHeight="1" x14ac:dyDescent="0.25">
      <c r="A4" s="1" t="s">
        <v>3</v>
      </c>
      <c r="B4" s="1" t="s">
        <v>158</v>
      </c>
      <c r="C4" s="1" t="s">
        <v>57</v>
      </c>
      <c r="D4" s="1" t="s">
        <v>159</v>
      </c>
      <c r="E4" s="1" t="s">
        <v>160</v>
      </c>
      <c r="F4" s="1" t="s">
        <v>161</v>
      </c>
      <c r="G4" s="1" t="s">
        <v>162</v>
      </c>
      <c r="H4" s="1" t="s">
        <v>163</v>
      </c>
    </row>
    <row r="5" spans="1:8" ht="15" customHeight="1" x14ac:dyDescent="0.25">
      <c r="A5" s="69" t="s">
        <v>203</v>
      </c>
      <c r="B5" s="69"/>
      <c r="C5" s="69"/>
      <c r="D5" s="69"/>
      <c r="E5" s="69"/>
      <c r="F5" s="69"/>
      <c r="G5" s="69"/>
      <c r="H5" s="69"/>
    </row>
    <row r="6" spans="1:8" ht="31.5" customHeight="1" x14ac:dyDescent="0.25">
      <c r="A6" s="28">
        <v>1</v>
      </c>
      <c r="B6" s="14" t="s">
        <v>204</v>
      </c>
      <c r="C6" s="16" t="s">
        <v>205</v>
      </c>
      <c r="D6" s="29">
        <f>'1. Parámetros'!$B$12</f>
        <v>30000</v>
      </c>
      <c r="E6" s="30">
        <v>42613.220635781239</v>
      </c>
      <c r="F6" s="29">
        <f>'1. Parámetros'!$B$4</f>
        <v>36</v>
      </c>
      <c r="G6" s="31">
        <f t="shared" ref="G6:G11" si="0">D6*E6*F6</f>
        <v>46022278286.643738</v>
      </c>
      <c r="H6" s="4" t="s">
        <v>206</v>
      </c>
    </row>
    <row r="7" spans="1:8" ht="31.5" customHeight="1" x14ac:dyDescent="0.25">
      <c r="A7" s="28">
        <v>2</v>
      </c>
      <c r="B7" s="14" t="s">
        <v>207</v>
      </c>
      <c r="C7" s="16" t="s">
        <v>208</v>
      </c>
      <c r="D7" s="29">
        <f>'1. Parámetros'!$B$13</f>
        <v>26000</v>
      </c>
      <c r="E7" s="30">
        <v>7349.6999854687492</v>
      </c>
      <c r="F7" s="29">
        <f>'1. Parámetros'!$B$4</f>
        <v>36</v>
      </c>
      <c r="G7" s="31">
        <f t="shared" si="0"/>
        <v>6879319186.3987484</v>
      </c>
      <c r="H7" s="4" t="s">
        <v>209</v>
      </c>
    </row>
    <row r="8" spans="1:8" ht="31.5" customHeight="1" x14ac:dyDescent="0.25">
      <c r="A8" s="28">
        <v>3</v>
      </c>
      <c r="B8" s="14" t="s">
        <v>210</v>
      </c>
      <c r="C8" s="16" t="s">
        <v>211</v>
      </c>
      <c r="D8" s="29">
        <f>'1. Parámetros'!$B$14</f>
        <v>500</v>
      </c>
      <c r="E8" s="30">
        <v>94210.070879166626</v>
      </c>
      <c r="F8" s="29">
        <f>'1. Parámetros'!$B$4</f>
        <v>36</v>
      </c>
      <c r="G8" s="31">
        <f t="shared" si="0"/>
        <v>1695781275.8249993</v>
      </c>
      <c r="H8" s="4" t="s">
        <v>212</v>
      </c>
    </row>
    <row r="9" spans="1:8" ht="31.5" customHeight="1" x14ac:dyDescent="0.25">
      <c r="A9" s="28">
        <v>4</v>
      </c>
      <c r="B9" s="14" t="s">
        <v>213</v>
      </c>
      <c r="C9" s="16" t="s">
        <v>214</v>
      </c>
      <c r="D9" s="15">
        <v>1</v>
      </c>
      <c r="E9" s="30">
        <v>649607594.1468749</v>
      </c>
      <c r="F9" s="29">
        <f>'1. Parámetros'!$B$4</f>
        <v>36</v>
      </c>
      <c r="G9" s="31">
        <f t="shared" si="0"/>
        <v>23385873389.287498</v>
      </c>
      <c r="H9" s="4" t="s">
        <v>215</v>
      </c>
    </row>
    <row r="10" spans="1:8" ht="31.5" customHeight="1" x14ac:dyDescent="0.25">
      <c r="A10" s="28">
        <v>5</v>
      </c>
      <c r="B10" s="14" t="s">
        <v>216</v>
      </c>
      <c r="C10" s="16" t="s">
        <v>217</v>
      </c>
      <c r="D10" s="29">
        <f>'1. Parámetros'!$B$17</f>
        <v>4</v>
      </c>
      <c r="E10" s="30">
        <v>192463747.18593752</v>
      </c>
      <c r="F10" s="29">
        <f>'1. Parámetros'!$B$4</f>
        <v>36</v>
      </c>
      <c r="G10" s="31">
        <f t="shared" si="0"/>
        <v>27714779594.775002</v>
      </c>
      <c r="H10" s="4" t="s">
        <v>218</v>
      </c>
    </row>
    <row r="11" spans="1:8" ht="31.5" customHeight="1" x14ac:dyDescent="0.25">
      <c r="A11" s="28">
        <v>6</v>
      </c>
      <c r="B11" s="14" t="s">
        <v>219</v>
      </c>
      <c r="C11" s="16" t="s">
        <v>220</v>
      </c>
      <c r="D11" s="15">
        <v>1</v>
      </c>
      <c r="E11" s="30">
        <v>85073479.115624979</v>
      </c>
      <c r="F11" s="29">
        <f>'1. Parámetros'!$B$4</f>
        <v>36</v>
      </c>
      <c r="G11" s="31">
        <f t="shared" si="0"/>
        <v>3062645248.1624994</v>
      </c>
      <c r="H11" s="4" t="s">
        <v>221</v>
      </c>
    </row>
    <row r="12" spans="1:8" x14ac:dyDescent="0.25">
      <c r="A12" s="65" t="s">
        <v>222</v>
      </c>
      <c r="B12" s="65"/>
      <c r="C12" s="65"/>
      <c r="D12" s="65"/>
      <c r="E12" s="65"/>
      <c r="F12" s="65"/>
      <c r="G12" s="7">
        <f>SUM(G6:G11)</f>
        <v>108760676981.0925</v>
      </c>
      <c r="H12" s="32"/>
    </row>
    <row r="14" spans="1:8" ht="15" customHeight="1" x14ac:dyDescent="0.25">
      <c r="A14" s="69" t="s">
        <v>223</v>
      </c>
      <c r="B14" s="69"/>
      <c r="C14" s="69"/>
      <c r="D14" s="69"/>
      <c r="E14" s="69"/>
      <c r="F14" s="69"/>
      <c r="G14" s="69"/>
      <c r="H14" s="69"/>
    </row>
    <row r="15" spans="1:8" ht="31.5" customHeight="1" x14ac:dyDescent="0.25">
      <c r="A15" s="28">
        <v>1</v>
      </c>
      <c r="B15" s="14" t="s">
        <v>224</v>
      </c>
      <c r="C15" s="16" t="s">
        <v>191</v>
      </c>
      <c r="D15" s="15">
        <v>1</v>
      </c>
      <c r="E15" s="30">
        <v>171989999.99999997</v>
      </c>
      <c r="F15" s="29">
        <f>'1. Parámetros'!$B$4</f>
        <v>36</v>
      </c>
      <c r="G15" s="31">
        <f t="shared" ref="G15:G27" si="1">D15*E15*F15</f>
        <v>6191639999.999999</v>
      </c>
      <c r="H15" s="4" t="s">
        <v>225</v>
      </c>
    </row>
    <row r="16" spans="1:8" ht="31.5" customHeight="1" x14ac:dyDescent="0.25">
      <c r="A16" s="28">
        <v>2</v>
      </c>
      <c r="B16" s="14" t="s">
        <v>226</v>
      </c>
      <c r="C16" s="16" t="s">
        <v>214</v>
      </c>
      <c r="D16" s="15">
        <v>1</v>
      </c>
      <c r="E16" s="30">
        <v>91960555.35398978</v>
      </c>
      <c r="F16" s="29">
        <f>'1. Parámetros'!$B$4</f>
        <v>36</v>
      </c>
      <c r="G16" s="31">
        <f t="shared" si="1"/>
        <v>3310579992.7436323</v>
      </c>
      <c r="H16" s="4" t="s">
        <v>227</v>
      </c>
    </row>
    <row r="17" spans="1:8" ht="31.5" customHeight="1" x14ac:dyDescent="0.25">
      <c r="A17" s="28">
        <v>3</v>
      </c>
      <c r="B17" s="14" t="s">
        <v>228</v>
      </c>
      <c r="C17" s="16" t="s">
        <v>214</v>
      </c>
      <c r="D17" s="15">
        <v>1</v>
      </c>
      <c r="E17" s="30">
        <v>64887618.120289445</v>
      </c>
      <c r="F17" s="29">
        <f>'1. Parámetros'!$B$4</f>
        <v>36</v>
      </c>
      <c r="G17" s="31">
        <f t="shared" si="1"/>
        <v>2335954252.33042</v>
      </c>
      <c r="H17" s="4" t="s">
        <v>229</v>
      </c>
    </row>
    <row r="18" spans="1:8" ht="31.5" customHeight="1" x14ac:dyDescent="0.25">
      <c r="A18" s="28">
        <v>4</v>
      </c>
      <c r="B18" s="14" t="s">
        <v>230</v>
      </c>
      <c r="C18" s="16" t="s">
        <v>191</v>
      </c>
      <c r="D18" s="15">
        <v>1</v>
      </c>
      <c r="E18" s="30">
        <v>110590123.79781842</v>
      </c>
      <c r="F18" s="29">
        <f>'1. Parámetros'!$B$4</f>
        <v>36</v>
      </c>
      <c r="G18" s="31">
        <f t="shared" si="1"/>
        <v>3981244456.7214632</v>
      </c>
      <c r="H18" s="4" t="s">
        <v>231</v>
      </c>
    </row>
    <row r="19" spans="1:8" ht="31.5" customHeight="1" x14ac:dyDescent="0.25">
      <c r="A19" s="28">
        <v>5</v>
      </c>
      <c r="B19" s="14" t="s">
        <v>232</v>
      </c>
      <c r="C19" s="16" t="s">
        <v>233</v>
      </c>
      <c r="D19" s="29">
        <f>'1. Parámetros'!$B$15</f>
        <v>1500</v>
      </c>
      <c r="E19" s="30">
        <v>6409.8289368749993</v>
      </c>
      <c r="F19" s="29">
        <f>'1. Parámetros'!$B$4</f>
        <v>36</v>
      </c>
      <c r="G19" s="31">
        <f t="shared" si="1"/>
        <v>346130762.59124994</v>
      </c>
      <c r="H19" s="4" t="s">
        <v>234</v>
      </c>
    </row>
    <row r="20" spans="1:8" ht="31.5" customHeight="1" x14ac:dyDescent="0.25">
      <c r="A20" s="28">
        <v>6</v>
      </c>
      <c r="B20" s="14" t="s">
        <v>235</v>
      </c>
      <c r="C20" s="16" t="s">
        <v>191</v>
      </c>
      <c r="D20" s="15">
        <v>1</v>
      </c>
      <c r="E20" s="30">
        <v>35511017.196484379</v>
      </c>
      <c r="F20" s="29">
        <f>'1. Parámetros'!$B$4</f>
        <v>36</v>
      </c>
      <c r="G20" s="31">
        <f t="shared" si="1"/>
        <v>1278396619.0734377</v>
      </c>
      <c r="H20" s="4" t="s">
        <v>236</v>
      </c>
    </row>
    <row r="21" spans="1:8" ht="31.5" customHeight="1" x14ac:dyDescent="0.25">
      <c r="A21" s="28">
        <v>7</v>
      </c>
      <c r="B21" s="14" t="s">
        <v>237</v>
      </c>
      <c r="C21" s="16" t="s">
        <v>205</v>
      </c>
      <c r="D21" s="29">
        <f>'1. Parámetros'!$B$12</f>
        <v>30000</v>
      </c>
      <c r="E21" s="30">
        <v>63919.830953671873</v>
      </c>
      <c r="F21" s="29">
        <f>'1. Parámetros'!$B$4</f>
        <v>36</v>
      </c>
      <c r="G21" s="31">
        <f t="shared" si="1"/>
        <v>69033417429.965622</v>
      </c>
      <c r="H21" s="4" t="s">
        <v>238</v>
      </c>
    </row>
    <row r="22" spans="1:8" ht="31.5" customHeight="1" x14ac:dyDescent="0.25">
      <c r="A22" s="28">
        <v>8</v>
      </c>
      <c r="B22" s="14" t="s">
        <v>239</v>
      </c>
      <c r="C22" s="16" t="s">
        <v>208</v>
      </c>
      <c r="D22" s="29">
        <f>'1. Parámetros'!$B$13</f>
        <v>26000</v>
      </c>
      <c r="E22" s="30">
        <v>16128.614668359374</v>
      </c>
      <c r="F22" s="29">
        <f>'1. Parámetros'!$B$4</f>
        <v>36</v>
      </c>
      <c r="G22" s="31">
        <f t="shared" si="1"/>
        <v>15096383329.584373</v>
      </c>
      <c r="H22" s="4" t="s">
        <v>240</v>
      </c>
    </row>
    <row r="23" spans="1:8" ht="31.5" customHeight="1" x14ac:dyDescent="0.25">
      <c r="A23" s="28">
        <v>9</v>
      </c>
      <c r="B23" s="14" t="s">
        <v>241</v>
      </c>
      <c r="C23" s="16" t="s">
        <v>191</v>
      </c>
      <c r="D23" s="15">
        <v>1</v>
      </c>
      <c r="E23" s="30">
        <v>201111942.22579688</v>
      </c>
      <c r="F23" s="29">
        <f>'1. Parámetros'!$B$4</f>
        <v>36</v>
      </c>
      <c r="G23" s="31">
        <f t="shared" si="1"/>
        <v>7240029920.1286879</v>
      </c>
      <c r="H23" s="4" t="s">
        <v>242</v>
      </c>
    </row>
    <row r="24" spans="1:8" ht="31.5" customHeight="1" x14ac:dyDescent="0.25">
      <c r="A24" s="28">
        <v>10</v>
      </c>
      <c r="B24" s="14" t="s">
        <v>243</v>
      </c>
      <c r="C24" s="16" t="s">
        <v>244</v>
      </c>
      <c r="D24" s="29">
        <f>'1. Parámetros'!$B$16</f>
        <v>2000</v>
      </c>
      <c r="E24" s="30">
        <v>614.41084249999994</v>
      </c>
      <c r="F24" s="29">
        <f>'1. Parámetros'!$B$4</f>
        <v>36</v>
      </c>
      <c r="G24" s="31">
        <f t="shared" si="1"/>
        <v>44237580.659999996</v>
      </c>
      <c r="H24" s="4" t="s">
        <v>245</v>
      </c>
    </row>
    <row r="25" spans="1:8" ht="31.5" customHeight="1" x14ac:dyDescent="0.25">
      <c r="A25" s="28">
        <v>11</v>
      </c>
      <c r="B25" s="14" t="s">
        <v>246</v>
      </c>
      <c r="C25" s="16" t="s">
        <v>191</v>
      </c>
      <c r="D25" s="15">
        <v>1</v>
      </c>
      <c r="E25" s="30">
        <v>52554406.700249992</v>
      </c>
      <c r="F25" s="29">
        <f>'1. Parámetros'!$B$4</f>
        <v>36</v>
      </c>
      <c r="G25" s="31">
        <f t="shared" si="1"/>
        <v>1891958641.2089996</v>
      </c>
      <c r="H25" s="4" t="s">
        <v>247</v>
      </c>
    </row>
    <row r="26" spans="1:8" ht="31.5" customHeight="1" x14ac:dyDescent="0.25">
      <c r="A26" s="35">
        <v>12</v>
      </c>
      <c r="B26" s="36" t="s">
        <v>248</v>
      </c>
      <c r="C26" s="16" t="s">
        <v>191</v>
      </c>
      <c r="D26" s="15">
        <v>1</v>
      </c>
      <c r="E26" s="30">
        <v>11592883.830937497</v>
      </c>
      <c r="F26" s="29">
        <v>36</v>
      </c>
      <c r="G26" s="31">
        <f t="shared" si="1"/>
        <v>417343817.91374993</v>
      </c>
      <c r="H26" s="4" t="s">
        <v>249</v>
      </c>
    </row>
    <row r="27" spans="1:8" ht="31.5" customHeight="1" x14ac:dyDescent="0.25">
      <c r="A27" s="28">
        <v>13</v>
      </c>
      <c r="B27" s="14" t="s">
        <v>250</v>
      </c>
      <c r="C27" s="16" t="s">
        <v>251</v>
      </c>
      <c r="D27" s="29">
        <f>'1. Parámetros'!$B$26</f>
        <v>6</v>
      </c>
      <c r="E27" s="30"/>
      <c r="F27" s="15">
        <v>1</v>
      </c>
      <c r="G27" s="31">
        <f t="shared" si="1"/>
        <v>0</v>
      </c>
      <c r="H27" s="4" t="s">
        <v>252</v>
      </c>
    </row>
    <row r="28" spans="1:8" x14ac:dyDescent="0.25">
      <c r="A28" s="65" t="s">
        <v>253</v>
      </c>
      <c r="B28" s="65"/>
      <c r="C28" s="65"/>
      <c r="D28" s="65"/>
      <c r="E28" s="65"/>
      <c r="F28" s="65"/>
      <c r="G28" s="7">
        <f>SUM(G15:G27)</f>
        <v>111167316802.92165</v>
      </c>
      <c r="H28" s="32"/>
    </row>
    <row r="30" spans="1:8" ht="30" customHeight="1" x14ac:dyDescent="0.25">
      <c r="A30" s="66" t="s">
        <v>254</v>
      </c>
      <c r="B30" s="66"/>
      <c r="C30" s="66"/>
      <c r="D30" s="66"/>
      <c r="E30" s="66"/>
      <c r="F30" s="66"/>
      <c r="G30" s="33">
        <f>G12+G28</f>
        <v>219927993784.01416</v>
      </c>
      <c r="H30" s="34"/>
    </row>
  </sheetData>
  <mergeCells count="7">
    <mergeCell ref="A28:F28"/>
    <mergeCell ref="A30:F30"/>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2"/>
  <sheetViews>
    <sheetView topLeftCell="A15" zoomScaleNormal="100" workbookViewId="0">
      <selection activeCell="G29" sqref="G29"/>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7" t="s">
        <v>255</v>
      </c>
      <c r="B1" s="67"/>
      <c r="C1" s="67"/>
      <c r="D1" s="67"/>
      <c r="E1" s="67"/>
      <c r="F1" s="67"/>
      <c r="G1" s="67"/>
      <c r="H1" s="67"/>
    </row>
    <row r="2" spans="1:8" ht="15" customHeight="1" x14ac:dyDescent="0.25">
      <c r="A2" s="68" t="s">
        <v>256</v>
      </c>
      <c r="B2" s="68"/>
      <c r="C2" s="68"/>
      <c r="D2" s="68"/>
      <c r="E2" s="68"/>
      <c r="F2" s="68"/>
      <c r="G2" s="68"/>
      <c r="H2" s="68"/>
    </row>
    <row r="4" spans="1:8" ht="37.5" customHeight="1" x14ac:dyDescent="0.25">
      <c r="A4" s="1" t="s">
        <v>3</v>
      </c>
      <c r="B4" s="1" t="s">
        <v>158</v>
      </c>
      <c r="C4" s="1" t="s">
        <v>57</v>
      </c>
      <c r="D4" s="1" t="s">
        <v>159</v>
      </c>
      <c r="E4" s="1" t="s">
        <v>160</v>
      </c>
      <c r="F4" s="1" t="s">
        <v>161</v>
      </c>
      <c r="G4" s="1" t="s">
        <v>162</v>
      </c>
      <c r="H4" s="1" t="s">
        <v>163</v>
      </c>
    </row>
    <row r="5" spans="1:8" ht="15" customHeight="1" x14ac:dyDescent="0.25">
      <c r="A5" s="69" t="s">
        <v>257</v>
      </c>
      <c r="B5" s="69"/>
      <c r="C5" s="69"/>
      <c r="D5" s="69"/>
      <c r="E5" s="69"/>
      <c r="F5" s="69"/>
      <c r="G5" s="69"/>
      <c r="H5" s="69"/>
    </row>
    <row r="6" spans="1:8" ht="31.5" customHeight="1" x14ac:dyDescent="0.25">
      <c r="A6" s="28">
        <v>1</v>
      </c>
      <c r="B6" s="14" t="s">
        <v>258</v>
      </c>
      <c r="C6" s="16" t="s">
        <v>205</v>
      </c>
      <c r="D6" s="29">
        <f>'1. Parámetros'!$B$12</f>
        <v>30000</v>
      </c>
      <c r="E6" s="30">
        <v>231378.73121317499</v>
      </c>
      <c r="F6" s="29">
        <f>'1. Parámetros'!$B$4</f>
        <v>36</v>
      </c>
      <c r="G6" s="31">
        <f>D6*E6*F6</f>
        <v>249889029710.22897</v>
      </c>
      <c r="H6" s="4" t="s">
        <v>259</v>
      </c>
    </row>
    <row r="7" spans="1:8" ht="31.5" customHeight="1" x14ac:dyDescent="0.25">
      <c r="A7" s="28">
        <v>2</v>
      </c>
      <c r="B7" s="14" t="s">
        <v>260</v>
      </c>
      <c r="C7" s="16" t="s">
        <v>214</v>
      </c>
      <c r="D7" s="15">
        <v>1</v>
      </c>
      <c r="E7" s="30">
        <v>22684189.334625002</v>
      </c>
      <c r="F7" s="29">
        <f>'1. Parámetros'!$B$4</f>
        <v>36</v>
      </c>
      <c r="G7" s="31">
        <f>D7*E7*F7</f>
        <v>816630816.04650009</v>
      </c>
      <c r="H7" s="4" t="s">
        <v>261</v>
      </c>
    </row>
    <row r="8" spans="1:8" ht="31.5" customHeight="1" x14ac:dyDescent="0.25">
      <c r="A8" s="28">
        <v>3</v>
      </c>
      <c r="B8" s="14" t="s">
        <v>262</v>
      </c>
      <c r="C8" s="16" t="s">
        <v>214</v>
      </c>
      <c r="D8" s="15">
        <v>1</v>
      </c>
      <c r="E8" s="30">
        <v>11342094.667312501</v>
      </c>
      <c r="F8" s="29">
        <f>'1. Parámetros'!$B$4</f>
        <v>36</v>
      </c>
      <c r="G8" s="31">
        <f>D8*E8*F8</f>
        <v>408315408.02325004</v>
      </c>
      <c r="H8" s="4" t="s">
        <v>263</v>
      </c>
    </row>
    <row r="9" spans="1:8" ht="31.5" customHeight="1" x14ac:dyDescent="0.25">
      <c r="A9" s="28">
        <v>4</v>
      </c>
      <c r="B9" s="14" t="s">
        <v>264</v>
      </c>
      <c r="C9" s="16" t="s">
        <v>191</v>
      </c>
      <c r="D9" s="15">
        <v>1</v>
      </c>
      <c r="E9" s="30">
        <v>117030235.85016891</v>
      </c>
      <c r="F9" s="29">
        <f>'1. Parámetros'!$B$4</f>
        <v>36</v>
      </c>
      <c r="G9" s="31">
        <f>D9*E9*F9</f>
        <v>4213088490.606081</v>
      </c>
      <c r="H9" s="4" t="s">
        <v>265</v>
      </c>
    </row>
    <row r="10" spans="1:8" ht="31.5" customHeight="1" x14ac:dyDescent="0.25">
      <c r="A10" s="28">
        <v>5</v>
      </c>
      <c r="B10" s="14" t="s">
        <v>266</v>
      </c>
      <c r="C10" s="16" t="s">
        <v>214</v>
      </c>
      <c r="D10" s="15">
        <v>1</v>
      </c>
      <c r="E10" s="30">
        <v>3402628.400193749</v>
      </c>
      <c r="F10" s="29">
        <f>'1. Parámetros'!$B$4</f>
        <v>36</v>
      </c>
      <c r="G10" s="31">
        <f>D10*E10*F10</f>
        <v>122494622.40697497</v>
      </c>
      <c r="H10" s="4" t="s">
        <v>267</v>
      </c>
    </row>
    <row r="11" spans="1:8" x14ac:dyDescent="0.25">
      <c r="A11" s="65" t="s">
        <v>268</v>
      </c>
      <c r="B11" s="65"/>
      <c r="C11" s="65"/>
      <c r="D11" s="65"/>
      <c r="E11" s="65"/>
      <c r="F11" s="65"/>
      <c r="G11" s="7">
        <f>SUM(G6:G10)</f>
        <v>255449559047.3118</v>
      </c>
      <c r="H11" s="32"/>
    </row>
    <row r="13" spans="1:8" ht="15" customHeight="1" x14ac:dyDescent="0.25">
      <c r="A13" s="69" t="s">
        <v>269</v>
      </c>
      <c r="B13" s="69"/>
      <c r="C13" s="69"/>
      <c r="D13" s="69"/>
      <c r="E13" s="69"/>
      <c r="F13" s="69"/>
      <c r="G13" s="69"/>
      <c r="H13" s="69"/>
    </row>
    <row r="14" spans="1:8" ht="31.5" customHeight="1" x14ac:dyDescent="0.25">
      <c r="A14" s="28">
        <v>1</v>
      </c>
      <c r="B14" s="14" t="s">
        <v>270</v>
      </c>
      <c r="C14" s="16" t="s">
        <v>271</v>
      </c>
      <c r="D14" s="29">
        <f>'1. Parámetros'!$B$18</f>
        <v>31</v>
      </c>
      <c r="E14" s="30">
        <v>273654982.84090912</v>
      </c>
      <c r="F14" s="15">
        <v>1</v>
      </c>
      <c r="G14" s="31">
        <f t="shared" ref="G14:G19" si="0">D14*E14*F14</f>
        <v>8483304468.0681829</v>
      </c>
      <c r="H14" s="4" t="s">
        <v>272</v>
      </c>
    </row>
    <row r="15" spans="1:8" ht="31.5" customHeight="1" x14ac:dyDescent="0.25">
      <c r="A15" s="28">
        <v>2</v>
      </c>
      <c r="B15" s="14" t="s">
        <v>273</v>
      </c>
      <c r="C15" s="16" t="s">
        <v>271</v>
      </c>
      <c r="D15" s="29">
        <f>'1. Parámetros'!$B$19</f>
        <v>7</v>
      </c>
      <c r="E15" s="30">
        <v>229476354.5454545</v>
      </c>
      <c r="F15" s="15">
        <v>1</v>
      </c>
      <c r="G15" s="31">
        <f t="shared" si="0"/>
        <v>1606334481.8181815</v>
      </c>
      <c r="H15" s="4" t="s">
        <v>274</v>
      </c>
    </row>
    <row r="16" spans="1:8" ht="31.5" customHeight="1" x14ac:dyDescent="0.25">
      <c r="A16" s="28">
        <v>3</v>
      </c>
      <c r="B16" s="14" t="s">
        <v>275</v>
      </c>
      <c r="C16" s="16" t="s">
        <v>271</v>
      </c>
      <c r="D16" s="29">
        <f>'1. Parámetros'!$B$20</f>
        <v>3</v>
      </c>
      <c r="E16" s="30">
        <v>242434237.5</v>
      </c>
      <c r="F16" s="15">
        <v>1</v>
      </c>
      <c r="G16" s="31">
        <f t="shared" si="0"/>
        <v>727302712.5</v>
      </c>
      <c r="H16" s="4" t="s">
        <v>276</v>
      </c>
    </row>
    <row r="17" spans="1:8" ht="31.5" customHeight="1" x14ac:dyDescent="0.25">
      <c r="A17" s="28">
        <v>4</v>
      </c>
      <c r="B17" s="14" t="s">
        <v>277</v>
      </c>
      <c r="C17" s="16" t="s">
        <v>271</v>
      </c>
      <c r="D17" s="29">
        <f>'1. Parámetros'!$B$21</f>
        <v>45</v>
      </c>
      <c r="E17" s="30">
        <v>205598409.5454545</v>
      </c>
      <c r="F17" s="15">
        <v>1</v>
      </c>
      <c r="G17" s="31">
        <f t="shared" si="0"/>
        <v>9251928429.5454521</v>
      </c>
      <c r="H17" s="4" t="s">
        <v>278</v>
      </c>
    </row>
    <row r="18" spans="1:8" ht="31.5" customHeight="1" x14ac:dyDescent="0.25">
      <c r="A18" s="28">
        <v>5</v>
      </c>
      <c r="B18" s="14" t="s">
        <v>279</v>
      </c>
      <c r="C18" s="16" t="s">
        <v>182</v>
      </c>
      <c r="D18" s="29">
        <f>'1. Parámetros'!$B$22</f>
        <v>7</v>
      </c>
      <c r="E18" s="30">
        <v>14883073.98088083</v>
      </c>
      <c r="F18" s="15">
        <v>1</v>
      </c>
      <c r="G18" s="31">
        <f t="shared" si="0"/>
        <v>104181517.86616582</v>
      </c>
      <c r="H18" s="4" t="s">
        <v>280</v>
      </c>
    </row>
    <row r="19" spans="1:8" ht="31.5" customHeight="1" x14ac:dyDescent="0.25">
      <c r="A19" s="28">
        <v>6</v>
      </c>
      <c r="B19" s="14" t="s">
        <v>281</v>
      </c>
      <c r="C19" s="16" t="s">
        <v>282</v>
      </c>
      <c r="D19" s="15">
        <v>86</v>
      </c>
      <c r="E19" s="30">
        <v>13618526.360993657</v>
      </c>
      <c r="F19" s="15">
        <v>1</v>
      </c>
      <c r="G19" s="31">
        <f t="shared" si="0"/>
        <v>1171193267.0454545</v>
      </c>
      <c r="H19" s="4" t="s">
        <v>283</v>
      </c>
    </row>
    <row r="20" spans="1:8" x14ac:dyDescent="0.25">
      <c r="A20" s="65" t="s">
        <v>284</v>
      </c>
      <c r="B20" s="65"/>
      <c r="C20" s="65"/>
      <c r="D20" s="65"/>
      <c r="E20" s="65"/>
      <c r="F20" s="65"/>
      <c r="G20" s="7">
        <f>SUM(G14:G19)</f>
        <v>21344244876.843437</v>
      </c>
      <c r="H20" s="32"/>
    </row>
    <row r="22" spans="1:8" ht="30" customHeight="1" x14ac:dyDescent="0.25">
      <c r="A22" s="66" t="s">
        <v>285</v>
      </c>
      <c r="B22" s="66"/>
      <c r="C22" s="66"/>
      <c r="D22" s="66"/>
      <c r="E22" s="66"/>
      <c r="F22" s="66"/>
      <c r="G22" s="33">
        <f>G11+G20</f>
        <v>276793803924.15521</v>
      </c>
      <c r="H22" s="34"/>
    </row>
  </sheetData>
  <mergeCells count="7">
    <mergeCell ref="A20:F20"/>
    <mergeCell ref="A22:F22"/>
    <mergeCell ref="A1:H1"/>
    <mergeCell ref="A2:H2"/>
    <mergeCell ref="A5:H5"/>
    <mergeCell ref="A11:F11"/>
    <mergeCell ref="A13:H13"/>
  </mergeCells>
  <printOptions horizontalCentered="1"/>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1"/>
  <sheetViews>
    <sheetView topLeftCell="A11" zoomScaleNormal="100" workbookViewId="0">
      <selection activeCell="D18" sqref="D18"/>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7" t="s">
        <v>286</v>
      </c>
      <c r="B1" s="67"/>
      <c r="C1" s="67"/>
      <c r="D1" s="67"/>
      <c r="E1" s="67"/>
      <c r="F1" s="67"/>
      <c r="G1" s="67"/>
      <c r="H1" s="67"/>
    </row>
    <row r="2" spans="1:8" ht="15" customHeight="1" x14ac:dyDescent="0.25">
      <c r="A2" s="68" t="s">
        <v>287</v>
      </c>
      <c r="B2" s="68"/>
      <c r="C2" s="68"/>
      <c r="D2" s="68"/>
      <c r="E2" s="68"/>
      <c r="F2" s="68"/>
      <c r="G2" s="68"/>
      <c r="H2" s="68"/>
    </row>
    <row r="4" spans="1:8" ht="37.5" customHeight="1" x14ac:dyDescent="0.25">
      <c r="A4" s="1" t="s">
        <v>3</v>
      </c>
      <c r="B4" s="1" t="s">
        <v>158</v>
      </c>
      <c r="C4" s="1" t="s">
        <v>57</v>
      </c>
      <c r="D4" s="1" t="s">
        <v>159</v>
      </c>
      <c r="E4" s="1" t="s">
        <v>160</v>
      </c>
      <c r="F4" s="1" t="s">
        <v>161</v>
      </c>
      <c r="G4" s="1" t="s">
        <v>162</v>
      </c>
      <c r="H4" s="1" t="s">
        <v>163</v>
      </c>
    </row>
    <row r="5" spans="1:8" ht="15" customHeight="1" x14ac:dyDescent="0.25">
      <c r="A5" s="69" t="s">
        <v>288</v>
      </c>
      <c r="B5" s="69"/>
      <c r="C5" s="69"/>
      <c r="D5" s="69"/>
      <c r="E5" s="69"/>
      <c r="F5" s="69"/>
      <c r="G5" s="69"/>
      <c r="H5" s="69"/>
    </row>
    <row r="6" spans="1:8" ht="31.5" customHeight="1" x14ac:dyDescent="0.25">
      <c r="A6" s="28">
        <v>1</v>
      </c>
      <c r="B6" s="14" t="s">
        <v>289</v>
      </c>
      <c r="C6" s="16" t="s">
        <v>290</v>
      </c>
      <c r="D6" s="29">
        <f>'1. Parámetros'!$B$24</f>
        <v>6000</v>
      </c>
      <c r="E6" s="30">
        <v>1485476.6062500002</v>
      </c>
      <c r="F6" s="15">
        <v>1</v>
      </c>
      <c r="G6" s="31">
        <f t="shared" ref="G6:G13" si="0">D6*E6*F6</f>
        <v>8912859637.5000019</v>
      </c>
      <c r="H6" s="4" t="s">
        <v>291</v>
      </c>
    </row>
    <row r="7" spans="1:8" ht="31.5" customHeight="1" x14ac:dyDescent="0.25">
      <c r="A7" s="28">
        <v>2</v>
      </c>
      <c r="B7" s="14" t="s">
        <v>292</v>
      </c>
      <c r="C7" s="16" t="s">
        <v>290</v>
      </c>
      <c r="D7" s="29">
        <f>'1. Parámetros'!$B$25</f>
        <v>1000</v>
      </c>
      <c r="E7" s="30">
        <v>655357.32628676458</v>
      </c>
      <c r="F7" s="15">
        <v>1</v>
      </c>
      <c r="G7" s="31">
        <f t="shared" si="0"/>
        <v>655357326.28676462</v>
      </c>
      <c r="H7" s="4" t="s">
        <v>293</v>
      </c>
    </row>
    <row r="8" spans="1:8" ht="31.5" customHeight="1" x14ac:dyDescent="0.25">
      <c r="A8" s="28">
        <v>3</v>
      </c>
      <c r="B8" s="14" t="s">
        <v>294</v>
      </c>
      <c r="C8" s="16" t="s">
        <v>290</v>
      </c>
      <c r="D8" s="15">
        <v>800</v>
      </c>
      <c r="E8" s="30">
        <v>655357.32628676458</v>
      </c>
      <c r="F8" s="15">
        <v>1</v>
      </c>
      <c r="G8" s="31">
        <f t="shared" si="0"/>
        <v>524285861.02941167</v>
      </c>
      <c r="H8" s="4" t="s">
        <v>295</v>
      </c>
    </row>
    <row r="9" spans="1:8" ht="31.5" customHeight="1" x14ac:dyDescent="0.25">
      <c r="A9" s="28">
        <v>4</v>
      </c>
      <c r="B9" s="14" t="s">
        <v>296</v>
      </c>
      <c r="C9" s="16" t="s">
        <v>290</v>
      </c>
      <c r="D9" s="15">
        <v>500</v>
      </c>
      <c r="E9" s="30">
        <v>337316.27088289353</v>
      </c>
      <c r="F9" s="15">
        <v>1</v>
      </c>
      <c r="G9" s="31">
        <f t="shared" si="0"/>
        <v>168658135.44144675</v>
      </c>
      <c r="H9" s="4" t="s">
        <v>295</v>
      </c>
    </row>
    <row r="10" spans="1:8" ht="31.5" customHeight="1" x14ac:dyDescent="0.25">
      <c r="A10" s="28">
        <v>5</v>
      </c>
      <c r="B10" s="14" t="s">
        <v>297</v>
      </c>
      <c r="C10" s="16" t="s">
        <v>298</v>
      </c>
      <c r="D10" s="15">
        <v>120</v>
      </c>
      <c r="E10" s="30">
        <v>10859940</v>
      </c>
      <c r="F10" s="15">
        <v>1</v>
      </c>
      <c r="G10" s="31">
        <f t="shared" si="0"/>
        <v>1303192800</v>
      </c>
      <c r="H10" s="4" t="s">
        <v>299</v>
      </c>
    </row>
    <row r="11" spans="1:8" ht="31.5" customHeight="1" x14ac:dyDescent="0.25">
      <c r="A11" s="28">
        <v>6</v>
      </c>
      <c r="B11" s="14" t="s">
        <v>300</v>
      </c>
      <c r="C11" s="16" t="s">
        <v>57</v>
      </c>
      <c r="D11" s="15">
        <v>80</v>
      </c>
      <c r="E11" s="30">
        <v>8632260</v>
      </c>
      <c r="F11" s="15">
        <v>1</v>
      </c>
      <c r="G11" s="31">
        <f t="shared" si="0"/>
        <v>690580800</v>
      </c>
      <c r="H11" s="4" t="s">
        <v>301</v>
      </c>
    </row>
    <row r="12" spans="1:8" ht="31.5" customHeight="1" x14ac:dyDescent="0.25">
      <c r="A12" s="28">
        <v>7</v>
      </c>
      <c r="B12" s="14" t="s">
        <v>302</v>
      </c>
      <c r="C12" s="16" t="s">
        <v>303</v>
      </c>
      <c r="D12" s="15">
        <v>150</v>
      </c>
      <c r="E12" s="30">
        <v>5012280</v>
      </c>
      <c r="F12" s="15">
        <v>1</v>
      </c>
      <c r="G12" s="31">
        <f t="shared" si="0"/>
        <v>751842000</v>
      </c>
      <c r="H12" s="4" t="s">
        <v>304</v>
      </c>
    </row>
    <row r="13" spans="1:8" ht="31.5" customHeight="1" x14ac:dyDescent="0.25">
      <c r="A13" s="28">
        <v>8</v>
      </c>
      <c r="B13" s="14" t="s">
        <v>305</v>
      </c>
      <c r="C13" s="16" t="s">
        <v>303</v>
      </c>
      <c r="D13" s="15">
        <v>250</v>
      </c>
      <c r="E13" s="30">
        <v>8040532.5</v>
      </c>
      <c r="F13" s="15">
        <v>1</v>
      </c>
      <c r="G13" s="31">
        <f t="shared" si="0"/>
        <v>2010133125</v>
      </c>
      <c r="H13" s="4" t="s">
        <v>306</v>
      </c>
    </row>
    <row r="14" spans="1:8" x14ac:dyDescent="0.25">
      <c r="A14" s="65" t="s">
        <v>307</v>
      </c>
      <c r="B14" s="65"/>
      <c r="C14" s="65"/>
      <c r="D14" s="65"/>
      <c r="E14" s="65"/>
      <c r="F14" s="65"/>
      <c r="G14" s="7">
        <f>SUM(G6:G13)</f>
        <v>15016909685.257624</v>
      </c>
      <c r="H14" s="32"/>
    </row>
    <row r="16" spans="1:8" ht="15" customHeight="1" x14ac:dyDescent="0.25">
      <c r="A16" s="69" t="s">
        <v>308</v>
      </c>
      <c r="B16" s="69"/>
      <c r="C16" s="69"/>
      <c r="D16" s="69"/>
      <c r="E16" s="69"/>
      <c r="F16" s="69"/>
      <c r="G16" s="69"/>
      <c r="H16" s="69"/>
    </row>
    <row r="17" spans="1:8" ht="31.5" customHeight="1" x14ac:dyDescent="0.25">
      <c r="A17" s="28">
        <v>1</v>
      </c>
      <c r="B17" s="14" t="s">
        <v>309</v>
      </c>
      <c r="C17" s="16" t="s">
        <v>191</v>
      </c>
      <c r="D17" s="15">
        <v>1</v>
      </c>
      <c r="E17" s="30">
        <v>17403750</v>
      </c>
      <c r="F17" s="15">
        <v>36</v>
      </c>
      <c r="G17" s="31">
        <f>D17*E17*F17</f>
        <v>626535000</v>
      </c>
      <c r="H17" s="4" t="s">
        <v>310</v>
      </c>
    </row>
    <row r="18" spans="1:8" ht="31.5" customHeight="1" x14ac:dyDescent="0.25">
      <c r="A18" s="28">
        <v>2</v>
      </c>
      <c r="B18" s="14" t="s">
        <v>311</v>
      </c>
      <c r="C18" s="16" t="s">
        <v>312</v>
      </c>
      <c r="D18" s="15">
        <v>250</v>
      </c>
      <c r="E18" s="30">
        <v>1194593.3999999999</v>
      </c>
      <c r="F18" s="15">
        <v>1</v>
      </c>
      <c r="G18" s="31">
        <f>D18*E18*F18</f>
        <v>298648350</v>
      </c>
      <c r="H18" s="4" t="s">
        <v>313</v>
      </c>
    </row>
    <row r="19" spans="1:8" x14ac:dyDescent="0.25">
      <c r="A19" s="65" t="s">
        <v>314</v>
      </c>
      <c r="B19" s="65"/>
      <c r="C19" s="65"/>
      <c r="D19" s="65"/>
      <c r="E19" s="65"/>
      <c r="F19" s="65"/>
      <c r="G19" s="7">
        <f>SUM(G17:G18)</f>
        <v>925183350</v>
      </c>
      <c r="H19" s="32"/>
    </row>
    <row r="21" spans="1:8" ht="30" customHeight="1" x14ac:dyDescent="0.25">
      <c r="A21" s="66" t="s">
        <v>315</v>
      </c>
      <c r="B21" s="66"/>
      <c r="C21" s="66"/>
      <c r="D21" s="66"/>
      <c r="E21" s="66"/>
      <c r="F21" s="66"/>
      <c r="G21" s="33">
        <f>G14+G19</f>
        <v>15942093035.257624</v>
      </c>
      <c r="H21" s="34"/>
    </row>
  </sheetData>
  <mergeCells count="7">
    <mergeCell ref="A19:F19"/>
    <mergeCell ref="A21:F21"/>
    <mergeCell ref="A1:H1"/>
    <mergeCell ref="A2:H2"/>
    <mergeCell ref="A5:H5"/>
    <mergeCell ref="A14:F14"/>
    <mergeCell ref="A16:H16"/>
  </mergeCells>
  <printOptions horizontalCentered="1"/>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54"/>
  <sheetViews>
    <sheetView topLeftCell="B46" zoomScaleNormal="100" workbookViewId="0">
      <selection activeCell="H55" sqref="H55"/>
    </sheetView>
  </sheetViews>
  <sheetFormatPr baseColWidth="10" defaultColWidth="8.42578125" defaultRowHeight="15" x14ac:dyDescent="0.25"/>
  <cols>
    <col min="1" max="1" width="6" customWidth="1"/>
    <col min="2" max="2" width="42" customWidth="1"/>
    <col min="3" max="3" width="10" customWidth="1"/>
    <col min="4" max="4" width="8" customWidth="1"/>
    <col min="5" max="5" width="9" customWidth="1"/>
    <col min="6" max="6" width="18" customWidth="1"/>
    <col min="7" max="7" width="10" customWidth="1"/>
    <col min="8" max="8" width="18" customWidth="1"/>
    <col min="9" max="9" width="8" customWidth="1"/>
    <col min="10" max="10" width="22" customWidth="1"/>
  </cols>
  <sheetData>
    <row r="1" spans="1:10" ht="30" customHeight="1" x14ac:dyDescent="0.25">
      <c r="A1" s="67" t="s">
        <v>316</v>
      </c>
      <c r="B1" s="67"/>
      <c r="C1" s="67"/>
      <c r="D1" s="67"/>
      <c r="E1" s="67"/>
      <c r="F1" s="67"/>
      <c r="G1" s="67"/>
      <c r="H1" s="67"/>
      <c r="I1" s="67"/>
      <c r="J1" s="67"/>
    </row>
    <row r="2" spans="1:10" ht="15" customHeight="1" x14ac:dyDescent="0.25">
      <c r="A2" s="68" t="s">
        <v>317</v>
      </c>
      <c r="B2" s="68"/>
      <c r="C2" s="68"/>
      <c r="D2" s="68"/>
      <c r="E2" s="68"/>
      <c r="F2" s="68"/>
      <c r="G2" s="68"/>
      <c r="H2" s="68"/>
      <c r="I2" s="68"/>
      <c r="J2" s="68"/>
    </row>
    <row r="4" spans="1:10" ht="39.75" customHeight="1" x14ac:dyDescent="0.25">
      <c r="A4" s="1" t="s">
        <v>3</v>
      </c>
      <c r="B4" s="1" t="s">
        <v>318</v>
      </c>
      <c r="C4" s="1" t="s">
        <v>319</v>
      </c>
      <c r="D4" s="1" t="s">
        <v>320</v>
      </c>
      <c r="E4" s="1" t="s">
        <v>321</v>
      </c>
      <c r="F4" s="1" t="s">
        <v>322</v>
      </c>
      <c r="G4" s="1" t="s">
        <v>323</v>
      </c>
      <c r="H4" s="1" t="s">
        <v>324</v>
      </c>
      <c r="I4" s="1" t="s">
        <v>161</v>
      </c>
      <c r="J4" s="1" t="s">
        <v>325</v>
      </c>
    </row>
    <row r="5" spans="1:10" ht="21.75" customHeight="1" x14ac:dyDescent="0.25">
      <c r="A5" s="70" t="s">
        <v>326</v>
      </c>
      <c r="B5" s="70"/>
      <c r="C5" s="70"/>
      <c r="D5" s="70"/>
      <c r="E5" s="70"/>
      <c r="F5" s="70"/>
      <c r="G5" s="70"/>
      <c r="H5" s="70"/>
      <c r="I5" s="70"/>
      <c r="J5" s="70"/>
    </row>
    <row r="6" spans="1:10" ht="24.75" customHeight="1" x14ac:dyDescent="0.25">
      <c r="A6" s="28">
        <v>1</v>
      </c>
      <c r="B6" s="14" t="s">
        <v>327</v>
      </c>
      <c r="C6" s="2" t="s">
        <v>328</v>
      </c>
      <c r="D6" s="15">
        <v>1</v>
      </c>
      <c r="E6" s="18">
        <v>1</v>
      </c>
      <c r="F6" s="30">
        <v>30362997.841812387</v>
      </c>
      <c r="G6" s="37">
        <f>'1. Parámetros'!$B$28</f>
        <v>1.85</v>
      </c>
      <c r="H6" s="38">
        <f>D6*E6*F6*G6</f>
        <v>56171546.007352918</v>
      </c>
      <c r="I6" s="29">
        <f>'1. Parámetros'!$B$4</f>
        <v>36</v>
      </c>
      <c r="J6" s="31">
        <f>H6*I6</f>
        <v>2022175656.2647052</v>
      </c>
    </row>
    <row r="7" spans="1:10" ht="27" customHeight="1" x14ac:dyDescent="0.25">
      <c r="A7" s="28">
        <v>2</v>
      </c>
      <c r="B7" s="14" t="s">
        <v>329</v>
      </c>
      <c r="C7" s="2" t="s">
        <v>328</v>
      </c>
      <c r="D7" s="15">
        <v>1</v>
      </c>
      <c r="E7" s="18">
        <v>1</v>
      </c>
      <c r="F7" s="30">
        <v>25319418.218431447</v>
      </c>
      <c r="G7" s="37">
        <f>'1. Parámetros'!$B$28</f>
        <v>1.85</v>
      </c>
      <c r="H7" s="38">
        <f>D7*E7*F7*G7</f>
        <v>46840923.70409818</v>
      </c>
      <c r="I7" s="29">
        <f>'1. Parámetros'!$B$4</f>
        <v>36</v>
      </c>
      <c r="J7" s="31">
        <f>H7*I7</f>
        <v>1686273253.3475344</v>
      </c>
    </row>
    <row r="8" spans="1:10" x14ac:dyDescent="0.25">
      <c r="A8" s="28">
        <v>3</v>
      </c>
      <c r="B8" s="14" t="s">
        <v>330</v>
      </c>
      <c r="C8" s="2" t="s">
        <v>328</v>
      </c>
      <c r="D8" s="15">
        <v>1</v>
      </c>
      <c r="E8" s="18">
        <v>1</v>
      </c>
      <c r="F8" s="30">
        <v>23056894.013301596</v>
      </c>
      <c r="G8" s="37">
        <f>'1. Parámetros'!$B$28</f>
        <v>1.85</v>
      </c>
      <c r="H8" s="38">
        <f>D8*E8*F8*G8</f>
        <v>42655253.924607955</v>
      </c>
      <c r="I8" s="29">
        <f>'1. Parámetros'!$B$4</f>
        <v>36</v>
      </c>
      <c r="J8" s="31">
        <f>H8*I8</f>
        <v>1535589141.2858863</v>
      </c>
    </row>
    <row r="9" spans="1:10" ht="24.75" customHeight="1" x14ac:dyDescent="0.25">
      <c r="A9" s="28">
        <v>4</v>
      </c>
      <c r="B9" s="14" t="s">
        <v>331</v>
      </c>
      <c r="C9" s="2" t="s">
        <v>328</v>
      </c>
      <c r="D9" s="15">
        <v>1</v>
      </c>
      <c r="E9" s="18">
        <v>1</v>
      </c>
      <c r="F9" s="30">
        <v>21109225.436935797</v>
      </c>
      <c r="G9" s="37">
        <f>'1. Parámetros'!$B$28</f>
        <v>1.85</v>
      </c>
      <c r="H9" s="38">
        <f>D9*E9*F9*G9</f>
        <v>39052067.058331229</v>
      </c>
      <c r="I9" s="29">
        <f>'1. Parámetros'!$B$27</f>
        <v>10</v>
      </c>
      <c r="J9" s="31">
        <f>H9*I9</f>
        <v>390520670.58331227</v>
      </c>
    </row>
    <row r="10" spans="1:10" ht="21.75" customHeight="1" x14ac:dyDescent="0.25">
      <c r="A10" s="70" t="s">
        <v>332</v>
      </c>
      <c r="B10" s="70"/>
      <c r="C10" s="70"/>
      <c r="D10" s="70"/>
      <c r="E10" s="70"/>
      <c r="F10" s="70"/>
      <c r="G10" s="70"/>
      <c r="H10" s="70"/>
      <c r="I10" s="70"/>
      <c r="J10" s="70"/>
    </row>
    <row r="11" spans="1:10" x14ac:dyDescent="0.25">
      <c r="A11" s="28">
        <v>5</v>
      </c>
      <c r="B11" s="14" t="s">
        <v>333</v>
      </c>
      <c r="C11" s="2" t="s">
        <v>334</v>
      </c>
      <c r="D11" s="15">
        <v>1</v>
      </c>
      <c r="E11" s="18">
        <v>1</v>
      </c>
      <c r="F11" s="30">
        <v>20661721.645468939</v>
      </c>
      <c r="G11" s="37">
        <f>'1. Parámetros'!$B$28</f>
        <v>1.85</v>
      </c>
      <c r="H11" s="38">
        <f t="shared" ref="H11:H16" si="0">D11*E11*F11*G11</f>
        <v>38224185.04411754</v>
      </c>
      <c r="I11" s="29">
        <f>'1. Parámetros'!$B$4</f>
        <v>36</v>
      </c>
      <c r="J11" s="31">
        <f t="shared" ref="J11:J16" si="1">H11*I11</f>
        <v>1376070661.5882316</v>
      </c>
    </row>
    <row r="12" spans="1:10" x14ac:dyDescent="0.25">
      <c r="A12" s="28">
        <v>6</v>
      </c>
      <c r="B12" s="14" t="s">
        <v>335</v>
      </c>
      <c r="C12" s="2" t="s">
        <v>334</v>
      </c>
      <c r="D12" s="15">
        <v>1</v>
      </c>
      <c r="E12" s="18">
        <v>1</v>
      </c>
      <c r="F12" s="30">
        <v>20661721.645468939</v>
      </c>
      <c r="G12" s="37">
        <f>'1. Parámetros'!$B$28</f>
        <v>1.85</v>
      </c>
      <c r="H12" s="38">
        <f t="shared" si="0"/>
        <v>38224185.04411754</v>
      </c>
      <c r="I12" s="29">
        <f>'1. Parámetros'!$B$4</f>
        <v>36</v>
      </c>
      <c r="J12" s="31">
        <f t="shared" si="1"/>
        <v>1376070661.5882316</v>
      </c>
    </row>
    <row r="13" spans="1:10" x14ac:dyDescent="0.25">
      <c r="A13" s="28">
        <v>7</v>
      </c>
      <c r="B13" s="14" t="s">
        <v>336</v>
      </c>
      <c r="C13" s="2" t="s">
        <v>334</v>
      </c>
      <c r="D13" s="15">
        <v>1</v>
      </c>
      <c r="E13" s="18">
        <v>1</v>
      </c>
      <c r="F13" s="30">
        <v>19122596.340511691</v>
      </c>
      <c r="G13" s="37">
        <f>'1. Parámetros'!$B$28</f>
        <v>1.85</v>
      </c>
      <c r="H13" s="38">
        <f t="shared" si="0"/>
        <v>35376803.229946628</v>
      </c>
      <c r="I13" s="29">
        <f>'1. Parámetros'!$B$4</f>
        <v>36</v>
      </c>
      <c r="J13" s="31">
        <f t="shared" si="1"/>
        <v>1273564916.2780786</v>
      </c>
    </row>
    <row r="14" spans="1:10" ht="24.75" customHeight="1" x14ac:dyDescent="0.25">
      <c r="A14" s="28">
        <v>8</v>
      </c>
      <c r="B14" s="14" t="s">
        <v>337</v>
      </c>
      <c r="C14" s="2" t="s">
        <v>334</v>
      </c>
      <c r="D14" s="15">
        <v>2</v>
      </c>
      <c r="E14" s="18">
        <v>1</v>
      </c>
      <c r="F14" s="30">
        <v>21489147.124687701</v>
      </c>
      <c r="G14" s="37">
        <f>'1. Parámetros'!$B$28</f>
        <v>1.85</v>
      </c>
      <c r="H14" s="38">
        <f t="shared" si="0"/>
        <v>79509844.361344501</v>
      </c>
      <c r="I14" s="29">
        <f>'1. Parámetros'!$B$4</f>
        <v>36</v>
      </c>
      <c r="J14" s="31">
        <f t="shared" si="1"/>
        <v>2862354397.0084019</v>
      </c>
    </row>
    <row r="15" spans="1:10" ht="24.75" customHeight="1" x14ac:dyDescent="0.25">
      <c r="A15" s="28">
        <v>9</v>
      </c>
      <c r="B15" s="14" t="s">
        <v>338</v>
      </c>
      <c r="C15" s="2" t="s">
        <v>334</v>
      </c>
      <c r="D15" s="15">
        <v>1</v>
      </c>
      <c r="E15" s="18">
        <v>1</v>
      </c>
      <c r="F15" s="30">
        <v>22989323.147736721</v>
      </c>
      <c r="G15" s="37">
        <f>'1. Parámetros'!$B$28</f>
        <v>1.85</v>
      </c>
      <c r="H15" s="38">
        <f t="shared" si="0"/>
        <v>42530247.823312938</v>
      </c>
      <c r="I15" s="29">
        <f>'1. Parámetros'!$B$4</f>
        <v>36</v>
      </c>
      <c r="J15" s="31">
        <f t="shared" si="1"/>
        <v>1531088921.6392658</v>
      </c>
    </row>
    <row r="16" spans="1:10" x14ac:dyDescent="0.25">
      <c r="A16" s="28">
        <v>10</v>
      </c>
      <c r="B16" s="36" t="s">
        <v>339</v>
      </c>
      <c r="C16" s="2" t="s">
        <v>334</v>
      </c>
      <c r="D16" s="15">
        <v>4</v>
      </c>
      <c r="E16" s="18">
        <v>1</v>
      </c>
      <c r="F16" s="30">
        <v>13260941.21158275</v>
      </c>
      <c r="G16" s="37">
        <f>'1. Parámetros'!$B$28</f>
        <v>1.85</v>
      </c>
      <c r="H16" s="38">
        <f t="shared" si="0"/>
        <v>98130964.965712354</v>
      </c>
      <c r="I16" s="29">
        <f>'1. Parámetros'!$B$4</f>
        <v>36</v>
      </c>
      <c r="J16" s="31">
        <f t="shared" si="1"/>
        <v>3532714738.7656446</v>
      </c>
    </row>
    <row r="17" spans="1:10" ht="21.75" customHeight="1" x14ac:dyDescent="0.25">
      <c r="A17" s="70" t="s">
        <v>340</v>
      </c>
      <c r="B17" s="70"/>
      <c r="C17" s="70"/>
      <c r="D17" s="70"/>
      <c r="E17" s="70"/>
      <c r="F17" s="70"/>
      <c r="G17" s="70"/>
      <c r="H17" s="70"/>
      <c r="I17" s="70"/>
      <c r="J17" s="70"/>
    </row>
    <row r="18" spans="1:10" ht="24.75" customHeight="1" x14ac:dyDescent="0.25">
      <c r="A18" s="28">
        <v>11</v>
      </c>
      <c r="B18" s="14" t="s">
        <v>341</v>
      </c>
      <c r="C18" s="2" t="s">
        <v>342</v>
      </c>
      <c r="D18" s="15">
        <v>1</v>
      </c>
      <c r="E18" s="18">
        <v>1</v>
      </c>
      <c r="F18" s="30">
        <v>33573382.761874035</v>
      </c>
      <c r="G18" s="37">
        <f>'1. Parámetros'!$B$28</f>
        <v>1.85</v>
      </c>
      <c r="H18" s="38">
        <f t="shared" ref="H18:H30" si="2">D18*E18*F18*G18</f>
        <v>62110758.10946697</v>
      </c>
      <c r="I18" s="29">
        <f>'1. Parámetros'!$B$4</f>
        <v>36</v>
      </c>
      <c r="J18" s="31">
        <f t="shared" ref="J18:J30" si="3">H18*I18</f>
        <v>2235987291.9408112</v>
      </c>
    </row>
    <row r="19" spans="1:10" x14ac:dyDescent="0.25">
      <c r="A19" s="28">
        <v>12</v>
      </c>
      <c r="B19" s="14" t="s">
        <v>343</v>
      </c>
      <c r="C19" s="2" t="s">
        <v>342</v>
      </c>
      <c r="D19" s="15">
        <v>1</v>
      </c>
      <c r="E19" s="18">
        <v>1</v>
      </c>
      <c r="F19" s="30">
        <v>18025983.707214952</v>
      </c>
      <c r="G19" s="37">
        <f>'1. Parámetros'!$B$28</f>
        <v>1.85</v>
      </c>
      <c r="H19" s="38">
        <f t="shared" si="2"/>
        <v>33348069.858347662</v>
      </c>
      <c r="I19" s="29">
        <f>'1. Parámetros'!$B$4</f>
        <v>36</v>
      </c>
      <c r="J19" s="31">
        <f t="shared" si="3"/>
        <v>1200530514.9005158</v>
      </c>
    </row>
    <row r="20" spans="1:10" x14ac:dyDescent="0.25">
      <c r="A20" s="28">
        <v>13</v>
      </c>
      <c r="B20" s="36" t="s">
        <v>344</v>
      </c>
      <c r="C20" s="2" t="s">
        <v>342</v>
      </c>
      <c r="D20" s="15">
        <v>6</v>
      </c>
      <c r="E20" s="18">
        <v>1</v>
      </c>
      <c r="F20" s="30">
        <v>23741384.339189239</v>
      </c>
      <c r="G20" s="37">
        <f>'1. Parámetros'!$B$28</f>
        <v>1.85</v>
      </c>
      <c r="H20" s="38">
        <f t="shared" si="2"/>
        <v>263529366.16500059</v>
      </c>
      <c r="I20" s="29">
        <f>'1. Parámetros'!$B$4</f>
        <v>36</v>
      </c>
      <c r="J20" s="31">
        <f t="shared" si="3"/>
        <v>9487057181.9400215</v>
      </c>
    </row>
    <row r="21" spans="1:10" ht="24.75" customHeight="1" x14ac:dyDescent="0.25">
      <c r="A21" s="28">
        <v>14</v>
      </c>
      <c r="B21" s="36" t="s">
        <v>345</v>
      </c>
      <c r="C21" s="2" t="s">
        <v>342</v>
      </c>
      <c r="D21" s="15">
        <v>4</v>
      </c>
      <c r="E21" s="18">
        <v>1</v>
      </c>
      <c r="F21" s="30">
        <v>31738073.796790529</v>
      </c>
      <c r="G21" s="37">
        <f>'1. Parámetros'!$B$28</f>
        <v>1.85</v>
      </c>
      <c r="H21" s="38">
        <f t="shared" si="2"/>
        <v>234861746.09624994</v>
      </c>
      <c r="I21" s="29">
        <f>'1. Parámetros'!$B$4</f>
        <v>36</v>
      </c>
      <c r="J21" s="31">
        <f t="shared" si="3"/>
        <v>8455022859.4649982</v>
      </c>
    </row>
    <row r="22" spans="1:10" ht="15" customHeight="1" x14ac:dyDescent="0.25">
      <c r="A22" s="28">
        <v>15</v>
      </c>
      <c r="B22" s="14" t="s">
        <v>346</v>
      </c>
      <c r="C22" s="2" t="s">
        <v>342</v>
      </c>
      <c r="D22" s="15">
        <v>2</v>
      </c>
      <c r="E22" s="18">
        <v>1</v>
      </c>
      <c r="F22" s="30">
        <v>24737028.106322035</v>
      </c>
      <c r="G22" s="37">
        <f>'1. Parámetros'!$B$28</f>
        <v>1.85</v>
      </c>
      <c r="H22" s="38">
        <f t="shared" si="2"/>
        <v>91527003.993391529</v>
      </c>
      <c r="I22" s="29">
        <f>'1. Parámetros'!$B$4</f>
        <v>36</v>
      </c>
      <c r="J22" s="31">
        <f t="shared" si="3"/>
        <v>3294972143.762095</v>
      </c>
    </row>
    <row r="23" spans="1:10" ht="24.75" customHeight="1" x14ac:dyDescent="0.25">
      <c r="A23" s="28">
        <v>16</v>
      </c>
      <c r="B23" s="36" t="s">
        <v>347</v>
      </c>
      <c r="C23" s="2" t="s">
        <v>342</v>
      </c>
      <c r="D23" s="15">
        <v>1</v>
      </c>
      <c r="E23" s="18">
        <v>1</v>
      </c>
      <c r="F23" s="30">
        <v>31738073.796790529</v>
      </c>
      <c r="G23" s="37">
        <f>'1. Parámetros'!$B$28</f>
        <v>1.85</v>
      </c>
      <c r="H23" s="38">
        <f t="shared" si="2"/>
        <v>58715436.524062485</v>
      </c>
      <c r="I23" s="29">
        <f>'1. Parámetros'!$B$4</f>
        <v>36</v>
      </c>
      <c r="J23" s="31">
        <f t="shared" si="3"/>
        <v>2113755714.8662496</v>
      </c>
    </row>
    <row r="24" spans="1:10" ht="24" customHeight="1" x14ac:dyDescent="0.25">
      <c r="A24" s="28">
        <v>17</v>
      </c>
      <c r="B24" s="36" t="s">
        <v>348</v>
      </c>
      <c r="C24" s="2" t="s">
        <v>342</v>
      </c>
      <c r="D24" s="15"/>
      <c r="E24" s="18">
        <v>1</v>
      </c>
      <c r="F24" s="30">
        <v>24503659.916639749</v>
      </c>
      <c r="G24" s="37">
        <f>'1. Parámetros'!$B$28</f>
        <v>1.85</v>
      </c>
      <c r="H24" s="38">
        <f t="shared" si="2"/>
        <v>0</v>
      </c>
      <c r="I24" s="29">
        <f>'1. Parámetros'!$B$4</f>
        <v>36</v>
      </c>
      <c r="J24" s="31">
        <f t="shared" si="3"/>
        <v>0</v>
      </c>
    </row>
    <row r="25" spans="1:10" ht="15" customHeight="1" x14ac:dyDescent="0.25">
      <c r="A25" s="28">
        <v>18</v>
      </c>
      <c r="B25" s="36" t="s">
        <v>349</v>
      </c>
      <c r="C25" s="2" t="s">
        <v>342</v>
      </c>
      <c r="D25" s="15"/>
      <c r="E25" s="18">
        <v>1</v>
      </c>
      <c r="F25" s="30">
        <v>24270291.726957463</v>
      </c>
      <c r="G25" s="37">
        <f>'1. Parámetros'!$B$28</f>
        <v>1.85</v>
      </c>
      <c r="H25" s="38">
        <f t="shared" si="2"/>
        <v>0</v>
      </c>
      <c r="I25" s="29">
        <f>'1. Parámetros'!$B$4</f>
        <v>36</v>
      </c>
      <c r="J25" s="31">
        <f t="shared" si="3"/>
        <v>0</v>
      </c>
    </row>
    <row r="26" spans="1:10" x14ac:dyDescent="0.25">
      <c r="A26" s="28">
        <v>19</v>
      </c>
      <c r="B26" s="36" t="s">
        <v>350</v>
      </c>
      <c r="C26" s="2" t="s">
        <v>342</v>
      </c>
      <c r="D26" s="15">
        <v>1</v>
      </c>
      <c r="E26" s="18">
        <v>1</v>
      </c>
      <c r="F26" s="30">
        <v>24737028.106322035</v>
      </c>
      <c r="G26" s="37">
        <f>'1. Parámetros'!$B$28</f>
        <v>1.85</v>
      </c>
      <c r="H26" s="38">
        <f t="shared" si="2"/>
        <v>45763501.996695764</v>
      </c>
      <c r="I26" s="29">
        <f>'1. Parámetros'!$B$4</f>
        <v>36</v>
      </c>
      <c r="J26" s="31">
        <f t="shared" si="3"/>
        <v>1647486071.8810475</v>
      </c>
    </row>
    <row r="27" spans="1:10" x14ac:dyDescent="0.25">
      <c r="A27" s="28">
        <v>20</v>
      </c>
      <c r="B27" s="14" t="s">
        <v>351</v>
      </c>
      <c r="C27" s="2" t="s">
        <v>342</v>
      </c>
      <c r="D27" s="15">
        <v>1</v>
      </c>
      <c r="E27" s="18">
        <v>1</v>
      </c>
      <c r="F27" s="30">
        <v>24036923.53727518</v>
      </c>
      <c r="G27" s="37">
        <f>'1. Parámetros'!$B$28</f>
        <v>1.85</v>
      </c>
      <c r="H27" s="38">
        <f t="shared" si="2"/>
        <v>44468308.543959089</v>
      </c>
      <c r="I27" s="29">
        <f>'1. Parámetros'!$B$4</f>
        <v>36</v>
      </c>
      <c r="J27" s="31">
        <f t="shared" si="3"/>
        <v>1600859107.5825272</v>
      </c>
    </row>
    <row r="28" spans="1:10" x14ac:dyDescent="0.25">
      <c r="A28" s="28">
        <v>21</v>
      </c>
      <c r="B28" s="14" t="s">
        <v>352</v>
      </c>
      <c r="C28" s="2" t="s">
        <v>342</v>
      </c>
      <c r="D28" s="15">
        <v>1</v>
      </c>
      <c r="E28" s="18">
        <v>1</v>
      </c>
      <c r="F28" s="30">
        <v>24970396.296004318</v>
      </c>
      <c r="G28" s="37">
        <f>'1. Parámetros'!$B$28</f>
        <v>1.85</v>
      </c>
      <c r="H28" s="38">
        <f t="shared" si="2"/>
        <v>46195233.14760799</v>
      </c>
      <c r="I28" s="29">
        <f>'1. Parámetros'!$B$4</f>
        <v>36</v>
      </c>
      <c r="J28" s="31">
        <f t="shared" si="3"/>
        <v>1663028393.3138876</v>
      </c>
    </row>
    <row r="29" spans="1:10" ht="24.75" customHeight="1" x14ac:dyDescent="0.25">
      <c r="A29" s="28">
        <v>22</v>
      </c>
      <c r="B29" s="14" t="s">
        <v>353</v>
      </c>
      <c r="C29" s="2" t="s">
        <v>342</v>
      </c>
      <c r="D29" s="15">
        <v>1</v>
      </c>
      <c r="E29" s="18">
        <v>1</v>
      </c>
      <c r="F29" s="30">
        <v>24737028.106322035</v>
      </c>
      <c r="G29" s="37">
        <f>'1. Parámetros'!$B$28</f>
        <v>1.85</v>
      </c>
      <c r="H29" s="38">
        <f t="shared" si="2"/>
        <v>45763501.996695764</v>
      </c>
      <c r="I29" s="29">
        <f>'1. Parámetros'!$B$4</f>
        <v>36</v>
      </c>
      <c r="J29" s="31">
        <f t="shared" si="3"/>
        <v>1647486071.8810475</v>
      </c>
    </row>
    <row r="30" spans="1:10" x14ac:dyDescent="0.25">
      <c r="A30" s="28">
        <v>23</v>
      </c>
      <c r="B30" s="14" t="s">
        <v>354</v>
      </c>
      <c r="C30" s="2" t="s">
        <v>342</v>
      </c>
      <c r="D30" s="15">
        <v>1</v>
      </c>
      <c r="E30" s="18">
        <v>0.5</v>
      </c>
      <c r="F30" s="30">
        <v>24036923.53727518</v>
      </c>
      <c r="G30" s="37">
        <f>'1. Parámetros'!$B$28</f>
        <v>1.85</v>
      </c>
      <c r="H30" s="38">
        <f t="shared" si="2"/>
        <v>22234154.271979544</v>
      </c>
      <c r="I30" s="29">
        <f>'1. Parámetros'!$B$4</f>
        <v>36</v>
      </c>
      <c r="J30" s="31">
        <f t="shared" si="3"/>
        <v>800429553.79126358</v>
      </c>
    </row>
    <row r="31" spans="1:10" ht="21.75" customHeight="1" x14ac:dyDescent="0.25">
      <c r="A31" s="70" t="s">
        <v>355</v>
      </c>
      <c r="B31" s="70"/>
      <c r="C31" s="70"/>
      <c r="D31" s="70"/>
      <c r="E31" s="70"/>
      <c r="F31" s="70"/>
      <c r="G31" s="70"/>
      <c r="H31" s="70"/>
      <c r="I31" s="70"/>
      <c r="J31" s="70"/>
    </row>
    <row r="32" spans="1:10" x14ac:dyDescent="0.25">
      <c r="A32" s="28">
        <v>24</v>
      </c>
      <c r="B32" s="14" t="s">
        <v>356</v>
      </c>
      <c r="C32" s="2" t="s">
        <v>357</v>
      </c>
      <c r="D32" s="15">
        <v>1</v>
      </c>
      <c r="E32" s="18">
        <v>1</v>
      </c>
      <c r="F32" s="30">
        <v>20087284.860293306</v>
      </c>
      <c r="G32" s="37">
        <f>'1. Parámetros'!$B$28</f>
        <v>1.85</v>
      </c>
      <c r="H32" s="38">
        <f>D32*E32*F32*G32</f>
        <v>37161476.991542615</v>
      </c>
      <c r="I32" s="29">
        <f>'1. Parámetros'!$B$4</f>
        <v>36</v>
      </c>
      <c r="J32" s="31">
        <f>H32*I32</f>
        <v>1337813171.6955342</v>
      </c>
    </row>
    <row r="33" spans="1:10" x14ac:dyDescent="0.25">
      <c r="A33" s="28">
        <v>25</v>
      </c>
      <c r="B33" s="14" t="s">
        <v>358</v>
      </c>
      <c r="C33" s="2" t="s">
        <v>357</v>
      </c>
      <c r="D33" s="15">
        <v>12</v>
      </c>
      <c r="E33" s="18">
        <v>1</v>
      </c>
      <c r="F33" s="30">
        <v>13344154.482519425</v>
      </c>
      <c r="G33" s="37">
        <f>'1. Parámetros'!$B$28</f>
        <v>1.85</v>
      </c>
      <c r="H33" s="38">
        <f>D33*E33*F33*G33</f>
        <v>296240229.51193124</v>
      </c>
      <c r="I33" s="29">
        <f>'1. Parámetros'!$B$4</f>
        <v>36</v>
      </c>
      <c r="J33" s="31">
        <f>H33*I33</f>
        <v>10664648262.429525</v>
      </c>
    </row>
    <row r="34" spans="1:10" x14ac:dyDescent="0.25">
      <c r="A34" s="28">
        <v>26</v>
      </c>
      <c r="B34" s="14" t="s">
        <v>359</v>
      </c>
      <c r="C34" s="2" t="s">
        <v>357</v>
      </c>
      <c r="D34" s="15">
        <v>6</v>
      </c>
      <c r="E34" s="18">
        <v>1</v>
      </c>
      <c r="F34" s="30">
        <v>18594861.885415535</v>
      </c>
      <c r="G34" s="37">
        <f>'1. Parámetros'!$B$28</f>
        <v>1.85</v>
      </c>
      <c r="H34" s="38">
        <f>D34*E34*F34*G34</f>
        <v>206402966.92811245</v>
      </c>
      <c r="I34" s="29">
        <f>'1. Parámetros'!$B$4</f>
        <v>36</v>
      </c>
      <c r="J34" s="31">
        <f>H34*I34</f>
        <v>7430506809.4120483</v>
      </c>
    </row>
    <row r="35" spans="1:10" ht="24.75" customHeight="1" x14ac:dyDescent="0.25">
      <c r="A35" s="28">
        <v>27</v>
      </c>
      <c r="B35" s="14" t="s">
        <v>360</v>
      </c>
      <c r="C35" s="2" t="s">
        <v>357</v>
      </c>
      <c r="D35" s="15">
        <v>8</v>
      </c>
      <c r="E35" s="18">
        <v>1</v>
      </c>
      <c r="F35" s="30">
        <v>13946146.414061651</v>
      </c>
      <c r="G35" s="37">
        <f>'1. Parámetros'!$B$28</f>
        <v>1.85</v>
      </c>
      <c r="H35" s="38">
        <f>D35*E35*F35*G35</f>
        <v>206402966.92811245</v>
      </c>
      <c r="I35" s="29">
        <f>'1. Parámetros'!$B$4</f>
        <v>36</v>
      </c>
      <c r="J35" s="31">
        <f>H35*I35</f>
        <v>7430506809.4120483</v>
      </c>
    </row>
    <row r="36" spans="1:10" ht="24.75" customHeight="1" x14ac:dyDescent="0.25">
      <c r="A36" s="28">
        <v>28</v>
      </c>
      <c r="B36" s="14" t="s">
        <v>361</v>
      </c>
      <c r="C36" s="2" t="s">
        <v>357</v>
      </c>
      <c r="D36" s="15">
        <v>1</v>
      </c>
      <c r="E36" s="18">
        <v>1</v>
      </c>
      <c r="F36" s="30">
        <v>20460170.122802291</v>
      </c>
      <c r="G36" s="37">
        <f>'1. Parámetros'!$B$28</f>
        <v>1.85</v>
      </c>
      <c r="H36" s="38">
        <f>D36*E36*F36*G36</f>
        <v>37851314.727184244</v>
      </c>
      <c r="I36" s="29">
        <f>'1. Parámetros'!$B$4</f>
        <v>36</v>
      </c>
      <c r="J36" s="31">
        <f>H36*I36</f>
        <v>1362647330.1786327</v>
      </c>
    </row>
    <row r="37" spans="1:10" ht="21.75" customHeight="1" x14ac:dyDescent="0.25">
      <c r="A37" s="70" t="s">
        <v>362</v>
      </c>
      <c r="B37" s="70"/>
      <c r="C37" s="70"/>
      <c r="D37" s="70"/>
      <c r="E37" s="70"/>
      <c r="F37" s="70"/>
      <c r="G37" s="70"/>
      <c r="H37" s="70"/>
      <c r="I37" s="70"/>
      <c r="J37" s="70"/>
    </row>
    <row r="38" spans="1:10" x14ac:dyDescent="0.25">
      <c r="A38" s="28">
        <v>29</v>
      </c>
      <c r="B38" s="14" t="s">
        <v>363</v>
      </c>
      <c r="C38" s="2" t="s">
        <v>364</v>
      </c>
      <c r="D38" s="15">
        <v>3</v>
      </c>
      <c r="E38" s="18">
        <v>1</v>
      </c>
      <c r="F38" s="30">
        <v>16838403.338513386</v>
      </c>
      <c r="G38" s="37">
        <f>'1. Parámetros'!$B$28</f>
        <v>1.85</v>
      </c>
      <c r="H38" s="38">
        <f>D38*E38*F38*G38</f>
        <v>93453138.528749287</v>
      </c>
      <c r="I38" s="29">
        <f>'1. Parámetros'!$B$4</f>
        <v>36</v>
      </c>
      <c r="J38" s="31">
        <f>H38*I38</f>
        <v>3364312987.0349741</v>
      </c>
    </row>
    <row r="39" spans="1:10" ht="24.75" customHeight="1" x14ac:dyDescent="0.25">
      <c r="A39" s="28">
        <v>30</v>
      </c>
      <c r="B39" s="14" t="s">
        <v>365</v>
      </c>
      <c r="C39" s="2" t="s">
        <v>364</v>
      </c>
      <c r="D39" s="15">
        <v>2</v>
      </c>
      <c r="E39" s="18">
        <v>1</v>
      </c>
      <c r="F39" s="30">
        <v>18230703.338513386</v>
      </c>
      <c r="G39" s="37">
        <f>'1. Parámetros'!$B$28</f>
        <v>1.85</v>
      </c>
      <c r="H39" s="38">
        <f>D39*E39*F39*G39</f>
        <v>67453602.35249953</v>
      </c>
      <c r="I39" s="29">
        <f>'1. Parámetros'!$B$4</f>
        <v>36</v>
      </c>
      <c r="J39" s="31">
        <f>H39*I39</f>
        <v>2428329684.6899829</v>
      </c>
    </row>
    <row r="40" spans="1:10" ht="24.75" customHeight="1" x14ac:dyDescent="0.25">
      <c r="A40" s="28">
        <v>31</v>
      </c>
      <c r="B40" s="14" t="s">
        <v>366</v>
      </c>
      <c r="C40" s="2" t="s">
        <v>364</v>
      </c>
      <c r="D40" s="15">
        <v>1</v>
      </c>
      <c r="E40" s="18">
        <v>1</v>
      </c>
      <c r="F40" s="30">
        <v>26269129.173141863</v>
      </c>
      <c r="G40" s="37">
        <f>'1. Parámetros'!$B$28</f>
        <v>1.85</v>
      </c>
      <c r="H40" s="38">
        <f>D40*E40*F40*G40</f>
        <v>48597888.970312446</v>
      </c>
      <c r="I40" s="29">
        <f>'1. Parámetros'!$B$4</f>
        <v>36</v>
      </c>
      <c r="J40" s="31">
        <f>H40*I40</f>
        <v>1749524002.9312482</v>
      </c>
    </row>
    <row r="41" spans="1:10" ht="21.75" customHeight="1" x14ac:dyDescent="0.25">
      <c r="A41" s="70" t="s">
        <v>367</v>
      </c>
      <c r="B41" s="70"/>
      <c r="C41" s="70"/>
      <c r="D41" s="70"/>
      <c r="E41" s="70"/>
      <c r="F41" s="70"/>
      <c r="G41" s="70"/>
      <c r="H41" s="70"/>
      <c r="I41" s="70"/>
      <c r="J41" s="70"/>
    </row>
    <row r="42" spans="1:10" x14ac:dyDescent="0.25">
      <c r="A42" s="28">
        <v>32</v>
      </c>
      <c r="B42" s="14" t="s">
        <v>368</v>
      </c>
      <c r="C42" s="2" t="s">
        <v>20</v>
      </c>
      <c r="D42" s="15">
        <v>1</v>
      </c>
      <c r="E42" s="18">
        <v>1</v>
      </c>
      <c r="F42" s="30">
        <v>24987483.707214948</v>
      </c>
      <c r="G42" s="37">
        <f>'1. Parámetros'!$B$28</f>
        <v>1.85</v>
      </c>
      <c r="H42" s="38">
        <f>D42*E42*F42*G42</f>
        <v>46226844.858347654</v>
      </c>
      <c r="I42" s="29">
        <f>'1. Parámetros'!$B$4</f>
        <v>36</v>
      </c>
      <c r="J42" s="31">
        <f>H42*I42</f>
        <v>1664166414.9005156</v>
      </c>
    </row>
    <row r="43" spans="1:10" ht="24.75" customHeight="1" x14ac:dyDescent="0.25">
      <c r="A43" s="28">
        <v>33</v>
      </c>
      <c r="B43" s="14" t="s">
        <v>369</v>
      </c>
      <c r="C43" s="2" t="s">
        <v>20</v>
      </c>
      <c r="D43" s="15">
        <v>1</v>
      </c>
      <c r="E43" s="18">
        <v>1</v>
      </c>
      <c r="F43" s="30">
        <v>22628145.269647028</v>
      </c>
      <c r="G43" s="37">
        <f>'1. Parámetros'!$B$28</f>
        <v>1.85</v>
      </c>
      <c r="H43" s="38">
        <f>D43*E43*F43*G43</f>
        <v>41862068.748847008</v>
      </c>
      <c r="I43" s="29">
        <f>'1. Parámetros'!$B$4</f>
        <v>36</v>
      </c>
      <c r="J43" s="31">
        <f>H43*I43</f>
        <v>1507034474.9584923</v>
      </c>
    </row>
    <row r="44" spans="1:10" x14ac:dyDescent="0.25">
      <c r="A44" s="28">
        <v>34</v>
      </c>
      <c r="B44" s="14" t="s">
        <v>370</v>
      </c>
      <c r="C44" s="2" t="s">
        <v>20</v>
      </c>
      <c r="D44" s="15">
        <v>6</v>
      </c>
      <c r="E44" s="18">
        <v>1</v>
      </c>
      <c r="F44" s="30">
        <v>20707892.63663663</v>
      </c>
      <c r="G44" s="37">
        <f>'1. Parámetros'!$B$28</f>
        <v>1.85</v>
      </c>
      <c r="H44" s="38">
        <f>D44*E44*F44*G44</f>
        <v>229857608.26666659</v>
      </c>
      <c r="I44" s="29">
        <f>'1. Parámetros'!$B$4</f>
        <v>36</v>
      </c>
      <c r="J44" s="31">
        <f>H44*I44</f>
        <v>8274873897.5999975</v>
      </c>
    </row>
    <row r="45" spans="1:10" x14ac:dyDescent="0.25">
      <c r="A45" s="28">
        <v>35</v>
      </c>
      <c r="B45" s="14" t="s">
        <v>371</v>
      </c>
      <c r="C45" s="2" t="s">
        <v>20</v>
      </c>
      <c r="D45" s="15">
        <v>18</v>
      </c>
      <c r="E45" s="18">
        <v>1</v>
      </c>
      <c r="F45" s="30">
        <v>17664668.733439285</v>
      </c>
      <c r="G45" s="37">
        <f>'1. Parámetros'!$B$28</f>
        <v>1.85</v>
      </c>
      <c r="H45" s="38">
        <f>D45*E45*F45*G45</f>
        <v>588233468.82352829</v>
      </c>
      <c r="I45" s="29">
        <f>'1. Parámetros'!$B$4</f>
        <v>36</v>
      </c>
      <c r="J45" s="31">
        <f>H45*I45</f>
        <v>21176404877.647018</v>
      </c>
    </row>
    <row r="46" spans="1:10" x14ac:dyDescent="0.25">
      <c r="A46" s="28">
        <v>36</v>
      </c>
      <c r="B46" s="14" t="s">
        <v>372</v>
      </c>
      <c r="C46" s="2" t="s">
        <v>20</v>
      </c>
      <c r="D46" s="15">
        <v>6</v>
      </c>
      <c r="E46" s="18">
        <v>1</v>
      </c>
      <c r="F46" s="30">
        <v>17516281.607905511</v>
      </c>
      <c r="G46" s="37">
        <f>'1. Parámetros'!$B$28</f>
        <v>1.85</v>
      </c>
      <c r="H46" s="38">
        <f>D46*E46*F46*G46</f>
        <v>194430725.8477512</v>
      </c>
      <c r="I46" s="29">
        <f>'1. Parámetros'!$B$4</f>
        <v>36</v>
      </c>
      <c r="J46" s="31">
        <f>H46*I46</f>
        <v>6999506130.519043</v>
      </c>
    </row>
    <row r="47" spans="1:10" ht="21.75" customHeight="1" x14ac:dyDescent="0.25">
      <c r="A47" s="70" t="s">
        <v>373</v>
      </c>
      <c r="B47" s="70"/>
      <c r="C47" s="70"/>
      <c r="D47" s="70"/>
      <c r="E47" s="70"/>
      <c r="F47" s="70"/>
      <c r="G47" s="70"/>
      <c r="H47" s="70"/>
      <c r="I47" s="70"/>
      <c r="J47" s="70"/>
    </row>
    <row r="48" spans="1:10" x14ac:dyDescent="0.25">
      <c r="A48" s="28">
        <v>37</v>
      </c>
      <c r="B48" s="14" t="s">
        <v>374</v>
      </c>
      <c r="C48" s="2" t="s">
        <v>375</v>
      </c>
      <c r="D48" s="15">
        <v>2</v>
      </c>
      <c r="E48" s="18">
        <v>1</v>
      </c>
      <c r="F48" s="30">
        <v>24473649.907094557</v>
      </c>
      <c r="G48" s="37">
        <f>'1. Parámetros'!$B$28</f>
        <v>1.85</v>
      </c>
      <c r="H48" s="38">
        <f>D48*E48*F48*G48</f>
        <v>90552504.656249866</v>
      </c>
      <c r="I48" s="29">
        <f>'1. Parámetros'!$B$4</f>
        <v>36</v>
      </c>
      <c r="J48" s="31">
        <f>H48*I48</f>
        <v>3259890167.6249952</v>
      </c>
    </row>
    <row r="49" spans="1:10" ht="24.75" customHeight="1" x14ac:dyDescent="0.25">
      <c r="A49" s="28">
        <v>38</v>
      </c>
      <c r="B49" s="14" t="s">
        <v>376</v>
      </c>
      <c r="C49" s="2" t="s">
        <v>375</v>
      </c>
      <c r="D49" s="15">
        <v>2</v>
      </c>
      <c r="E49" s="18">
        <v>1</v>
      </c>
      <c r="F49" s="30">
        <v>25618407.27916329</v>
      </c>
      <c r="G49" s="37">
        <f>'1. Parámetros'!$B$28</f>
        <v>1.85</v>
      </c>
      <c r="H49" s="38">
        <f>D49*E49*F49*G49</f>
        <v>94788106.932904184</v>
      </c>
      <c r="I49" s="29">
        <f>'1. Parámetros'!$B$4</f>
        <v>36</v>
      </c>
      <c r="J49" s="31">
        <f>H49*I49</f>
        <v>3412371849.5845509</v>
      </c>
    </row>
    <row r="50" spans="1:10" ht="24.75" customHeight="1" x14ac:dyDescent="0.25">
      <c r="A50" s="28">
        <v>39</v>
      </c>
      <c r="B50" s="14" t="s">
        <v>377</v>
      </c>
      <c r="C50" s="2" t="s">
        <v>375</v>
      </c>
      <c r="D50" s="15">
        <v>1</v>
      </c>
      <c r="E50" s="18">
        <v>1</v>
      </c>
      <c r="F50" s="30">
        <v>22752679.396621648</v>
      </c>
      <c r="G50" s="37">
        <f>'1. Parámetros'!$B$28</f>
        <v>1.85</v>
      </c>
      <c r="H50" s="38">
        <f>D50*E50*F50*G50</f>
        <v>42092456.883750051</v>
      </c>
      <c r="I50" s="29">
        <f>'1. Parámetros'!$B$4</f>
        <v>36</v>
      </c>
      <c r="J50" s="31">
        <f>H50*I50</f>
        <v>1515328447.815002</v>
      </c>
    </row>
    <row r="51" spans="1:10" ht="24.75" customHeight="1" x14ac:dyDescent="0.25">
      <c r="A51" s="28">
        <v>40</v>
      </c>
      <c r="B51" s="14" t="s">
        <v>378</v>
      </c>
      <c r="C51" s="2" t="s">
        <v>375</v>
      </c>
      <c r="D51" s="15">
        <v>1</v>
      </c>
      <c r="E51" s="18">
        <v>1</v>
      </c>
      <c r="F51" s="30">
        <v>27431571.058783766</v>
      </c>
      <c r="G51" s="37">
        <f>'1. Parámetros'!$B$28</f>
        <v>1.85</v>
      </c>
      <c r="H51" s="38">
        <f>D51*E51*F51*G51</f>
        <v>50748406.458749972</v>
      </c>
      <c r="I51" s="29">
        <f>'1. Parámetros'!$B$4</f>
        <v>36</v>
      </c>
      <c r="J51" s="31">
        <f>H51*I51</f>
        <v>1826942632.5149989</v>
      </c>
    </row>
    <row r="52" spans="1:10" x14ac:dyDescent="0.25">
      <c r="A52" s="28">
        <v>41</v>
      </c>
      <c r="B52" s="14" t="s">
        <v>379</v>
      </c>
      <c r="C52" s="2" t="s">
        <v>375</v>
      </c>
      <c r="D52" s="15">
        <v>4</v>
      </c>
      <c r="E52" s="18">
        <v>1</v>
      </c>
      <c r="F52" s="30">
        <v>17607598.546621617</v>
      </c>
      <c r="G52" s="37">
        <f>'1. Parámetros'!$B$28</f>
        <v>1.85</v>
      </c>
      <c r="H52" s="38">
        <f>D52*E52*F52*G52</f>
        <v>130296229.24499997</v>
      </c>
      <c r="I52" s="29">
        <f>'1. Parámetros'!$B$4</f>
        <v>36</v>
      </c>
      <c r="J52" s="31">
        <f>H52*I52</f>
        <v>4690664252.8199987</v>
      </c>
    </row>
    <row r="54" spans="1:10" ht="30" customHeight="1" x14ac:dyDescent="0.25">
      <c r="A54" s="66" t="s">
        <v>380</v>
      </c>
      <c r="B54" s="66"/>
      <c r="C54" s="66"/>
      <c r="D54" s="66"/>
      <c r="E54" s="66"/>
      <c r="F54" s="66"/>
      <c r="G54" s="66"/>
      <c r="H54" s="66"/>
      <c r="I54" s="66"/>
      <c r="J54" s="33">
        <f>SUMIF(B6:B52,"&lt;&gt;",J6:J52)</f>
        <v>141828510127.44238</v>
      </c>
    </row>
  </sheetData>
  <mergeCells count="10">
    <mergeCell ref="A31:J31"/>
    <mergeCell ref="A37:J37"/>
    <mergeCell ref="A41:J41"/>
    <mergeCell ref="A47:J47"/>
    <mergeCell ref="A54:I54"/>
    <mergeCell ref="A1:J1"/>
    <mergeCell ref="A2:J2"/>
    <mergeCell ref="A5:J5"/>
    <mergeCell ref="A10:J10"/>
    <mergeCell ref="A17:J17"/>
  </mergeCells>
  <printOptions horizontalCentered="1"/>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36"/>
  <sheetViews>
    <sheetView topLeftCell="A27" zoomScaleNormal="100" workbookViewId="0">
      <selection activeCell="B45" sqref="B45"/>
    </sheetView>
  </sheetViews>
  <sheetFormatPr baseColWidth="10" defaultColWidth="8.42578125" defaultRowHeight="15" x14ac:dyDescent="0.25"/>
  <cols>
    <col min="1" max="1" width="6" customWidth="1"/>
    <col min="2" max="2" width="46" customWidth="1"/>
    <col min="3" max="3" width="16" customWidth="1"/>
    <col min="4" max="4" width="10" customWidth="1"/>
    <col min="5" max="5" width="18" customWidth="1"/>
    <col min="6" max="6" width="8" customWidth="1"/>
    <col min="7" max="7" width="22" customWidth="1"/>
  </cols>
  <sheetData>
    <row r="1" spans="1:7" ht="30" customHeight="1" x14ac:dyDescent="0.25">
      <c r="A1" s="67" t="s">
        <v>381</v>
      </c>
      <c r="B1" s="67"/>
      <c r="C1" s="67"/>
      <c r="D1" s="67"/>
      <c r="E1" s="67"/>
      <c r="F1" s="67"/>
      <c r="G1" s="67"/>
    </row>
    <row r="3" spans="1:7" ht="37.5" customHeight="1" x14ac:dyDescent="0.25">
      <c r="A3" s="1" t="s">
        <v>3</v>
      </c>
      <c r="B3" s="1" t="s">
        <v>382</v>
      </c>
      <c r="C3" s="1" t="s">
        <v>57</v>
      </c>
      <c r="D3" s="1" t="s">
        <v>159</v>
      </c>
      <c r="E3" s="1" t="s">
        <v>383</v>
      </c>
      <c r="F3" s="1" t="s">
        <v>161</v>
      </c>
      <c r="G3" s="1" t="s">
        <v>384</v>
      </c>
    </row>
    <row r="4" spans="1:7" ht="15" customHeight="1" x14ac:dyDescent="0.25">
      <c r="A4" s="69" t="s">
        <v>385</v>
      </c>
      <c r="B4" s="69"/>
      <c r="C4" s="69"/>
      <c r="D4" s="69"/>
      <c r="E4" s="69"/>
      <c r="F4" s="69"/>
      <c r="G4" s="69"/>
    </row>
    <row r="5" spans="1:7" ht="30" customHeight="1" x14ac:dyDescent="0.25">
      <c r="A5" s="28">
        <v>1</v>
      </c>
      <c r="B5" s="14" t="s">
        <v>386</v>
      </c>
      <c r="C5" s="16" t="s">
        <v>387</v>
      </c>
      <c r="D5" s="15">
        <v>1</v>
      </c>
      <c r="E5" s="30">
        <v>14875000</v>
      </c>
      <c r="F5" s="15">
        <v>1</v>
      </c>
      <c r="G5" s="31">
        <f t="shared" ref="G5:G11" si="0">D5*E5*F5</f>
        <v>14875000</v>
      </c>
    </row>
    <row r="6" spans="1:7" ht="30" customHeight="1" x14ac:dyDescent="0.25">
      <c r="A6" s="28">
        <v>2</v>
      </c>
      <c r="B6" s="14" t="s">
        <v>388</v>
      </c>
      <c r="C6" s="16" t="s">
        <v>389</v>
      </c>
      <c r="D6" s="15">
        <v>1</v>
      </c>
      <c r="E6" s="30">
        <v>65450000</v>
      </c>
      <c r="F6" s="15">
        <v>1</v>
      </c>
      <c r="G6" s="31">
        <f t="shared" si="0"/>
        <v>65450000</v>
      </c>
    </row>
    <row r="7" spans="1:7" ht="30" customHeight="1" x14ac:dyDescent="0.25">
      <c r="A7" s="28">
        <v>3</v>
      </c>
      <c r="B7" s="14" t="s">
        <v>390</v>
      </c>
      <c r="C7" s="16" t="s">
        <v>391</v>
      </c>
      <c r="D7" s="15">
        <v>1</v>
      </c>
      <c r="E7" s="30">
        <v>38080000</v>
      </c>
      <c r="F7" s="15">
        <v>1</v>
      </c>
      <c r="G7" s="31">
        <f t="shared" si="0"/>
        <v>38080000</v>
      </c>
    </row>
    <row r="8" spans="1:7" ht="30" customHeight="1" x14ac:dyDescent="0.25">
      <c r="A8" s="28">
        <v>4</v>
      </c>
      <c r="B8" s="14" t="s">
        <v>392</v>
      </c>
      <c r="C8" s="16" t="s">
        <v>387</v>
      </c>
      <c r="D8" s="15">
        <v>1</v>
      </c>
      <c r="E8" s="30">
        <v>14101500</v>
      </c>
      <c r="F8" s="15">
        <v>1</v>
      </c>
      <c r="G8" s="31">
        <f t="shared" si="0"/>
        <v>14101500</v>
      </c>
    </row>
    <row r="9" spans="1:7" ht="30" customHeight="1" x14ac:dyDescent="0.25">
      <c r="A9" s="28">
        <v>5</v>
      </c>
      <c r="B9" s="14" t="s">
        <v>393</v>
      </c>
      <c r="C9" s="16" t="s">
        <v>394</v>
      </c>
      <c r="D9" s="15">
        <v>1</v>
      </c>
      <c r="E9" s="30">
        <v>14101500</v>
      </c>
      <c r="F9" s="15">
        <v>1</v>
      </c>
      <c r="G9" s="31">
        <f t="shared" si="0"/>
        <v>14101500</v>
      </c>
    </row>
    <row r="10" spans="1:7" ht="30" customHeight="1" x14ac:dyDescent="0.25">
      <c r="A10" s="28">
        <v>6</v>
      </c>
      <c r="B10" s="14" t="s">
        <v>395</v>
      </c>
      <c r="C10" s="16" t="s">
        <v>396</v>
      </c>
      <c r="D10" s="15">
        <v>10</v>
      </c>
      <c r="E10" s="30">
        <v>5067353443.7948723</v>
      </c>
      <c r="F10" s="15">
        <v>1</v>
      </c>
      <c r="G10" s="31">
        <f t="shared" si="0"/>
        <v>50673534437.948723</v>
      </c>
    </row>
    <row r="11" spans="1:7" ht="30" customHeight="1" x14ac:dyDescent="0.25">
      <c r="A11" s="28">
        <v>7</v>
      </c>
      <c r="B11" s="14" t="s">
        <v>397</v>
      </c>
      <c r="C11" s="16" t="s">
        <v>303</v>
      </c>
      <c r="D11" s="15">
        <v>876</v>
      </c>
      <c r="E11" s="30">
        <v>11305000</v>
      </c>
      <c r="F11" s="15">
        <v>1</v>
      </c>
      <c r="G11" s="31">
        <f t="shared" si="0"/>
        <v>9903180000</v>
      </c>
    </row>
    <row r="12" spans="1:7" x14ac:dyDescent="0.25">
      <c r="A12" s="65" t="s">
        <v>398</v>
      </c>
      <c r="B12" s="65"/>
      <c r="C12" s="65"/>
      <c r="D12" s="65"/>
      <c r="E12" s="65"/>
      <c r="F12" s="65"/>
      <c r="G12" s="7">
        <f>SUM(G5:G11)</f>
        <v>60723322437.948723</v>
      </c>
    </row>
    <row r="14" spans="1:7" ht="15" customHeight="1" x14ac:dyDescent="0.25">
      <c r="A14" s="69" t="s">
        <v>399</v>
      </c>
      <c r="B14" s="69"/>
      <c r="C14" s="69"/>
      <c r="D14" s="69"/>
      <c r="E14" s="69"/>
      <c r="F14" s="69"/>
      <c r="G14" s="69"/>
    </row>
    <row r="15" spans="1:7" ht="30" customHeight="1" x14ac:dyDescent="0.25">
      <c r="A15" s="28">
        <v>1</v>
      </c>
      <c r="B15" s="14" t="s">
        <v>400</v>
      </c>
      <c r="C15" s="16" t="s">
        <v>191</v>
      </c>
      <c r="D15" s="15">
        <v>1</v>
      </c>
      <c r="E15" s="30">
        <v>17850000</v>
      </c>
      <c r="F15" s="15">
        <v>36</v>
      </c>
      <c r="G15" s="31">
        <f>D15*E15*F15</f>
        <v>642600000</v>
      </c>
    </row>
    <row r="16" spans="1:7" ht="30" customHeight="1" x14ac:dyDescent="0.25">
      <c r="A16" s="28">
        <v>2</v>
      </c>
      <c r="B16" s="14" t="s">
        <v>401</v>
      </c>
      <c r="C16" s="16" t="s">
        <v>191</v>
      </c>
      <c r="D16" s="15">
        <v>1</v>
      </c>
      <c r="E16" s="30">
        <v>21420000</v>
      </c>
      <c r="F16" s="15">
        <v>36</v>
      </c>
      <c r="G16" s="31">
        <f>D16*E16*F16</f>
        <v>771120000</v>
      </c>
    </row>
    <row r="17" spans="1:7" ht="30" customHeight="1" x14ac:dyDescent="0.25">
      <c r="A17" s="28">
        <v>3</v>
      </c>
      <c r="B17" s="14" t="s">
        <v>402</v>
      </c>
      <c r="C17" s="16" t="s">
        <v>191</v>
      </c>
      <c r="D17" s="15">
        <v>1</v>
      </c>
      <c r="E17" s="30">
        <v>11305000</v>
      </c>
      <c r="F17" s="15">
        <v>36</v>
      </c>
      <c r="G17" s="31">
        <f>D17*E17*F17</f>
        <v>406980000</v>
      </c>
    </row>
    <row r="18" spans="1:7" ht="30" customHeight="1" x14ac:dyDescent="0.25">
      <c r="A18" s="28">
        <v>4</v>
      </c>
      <c r="B18" s="14" t="s">
        <v>403</v>
      </c>
      <c r="C18" s="16" t="s">
        <v>191</v>
      </c>
      <c r="D18" s="15">
        <v>1</v>
      </c>
      <c r="E18" s="30">
        <v>13090000</v>
      </c>
      <c r="F18" s="15">
        <v>36</v>
      </c>
      <c r="G18" s="31">
        <f>D18*E18*F18</f>
        <v>471240000</v>
      </c>
    </row>
    <row r="19" spans="1:7" x14ac:dyDescent="0.25">
      <c r="A19" s="65" t="s">
        <v>404</v>
      </c>
      <c r="B19" s="65"/>
      <c r="C19" s="65"/>
      <c r="D19" s="65"/>
      <c r="E19" s="65"/>
      <c r="F19" s="65"/>
      <c r="G19" s="7">
        <f>SUM(G15:G18)</f>
        <v>2291940000</v>
      </c>
    </row>
    <row r="21" spans="1:7" ht="15" customHeight="1" x14ac:dyDescent="0.25">
      <c r="A21" s="69" t="s">
        <v>405</v>
      </c>
      <c r="B21" s="69"/>
      <c r="C21" s="69"/>
      <c r="D21" s="69"/>
      <c r="E21" s="69"/>
      <c r="F21" s="69"/>
      <c r="G21" s="69"/>
    </row>
    <row r="22" spans="1:7" ht="30" customHeight="1" x14ac:dyDescent="0.25">
      <c r="A22" s="28">
        <v>1</v>
      </c>
      <c r="B22" s="14" t="s">
        <v>406</v>
      </c>
      <c r="C22" s="16" t="s">
        <v>407</v>
      </c>
      <c r="D22" s="15">
        <v>1</v>
      </c>
      <c r="E22" s="30">
        <v>490875000</v>
      </c>
      <c r="F22" s="15">
        <v>1</v>
      </c>
      <c r="G22" s="31">
        <f t="shared" ref="G22:G29" si="1">D22*E22*F22</f>
        <v>490875000</v>
      </c>
    </row>
    <row r="23" spans="1:7" ht="30" customHeight="1" x14ac:dyDescent="0.25">
      <c r="A23" s="28">
        <v>2</v>
      </c>
      <c r="B23" s="14" t="s">
        <v>408</v>
      </c>
      <c r="C23" s="16" t="s">
        <v>407</v>
      </c>
      <c r="D23" s="15">
        <v>1</v>
      </c>
      <c r="E23" s="30">
        <v>142800000</v>
      </c>
      <c r="F23" s="15">
        <v>1</v>
      </c>
      <c r="G23" s="31">
        <f t="shared" si="1"/>
        <v>142800000</v>
      </c>
    </row>
    <row r="24" spans="1:7" ht="30" customHeight="1" x14ac:dyDescent="0.25">
      <c r="A24" s="28">
        <v>3</v>
      </c>
      <c r="B24" s="14" t="s">
        <v>409</v>
      </c>
      <c r="C24" s="16" t="s">
        <v>407</v>
      </c>
      <c r="D24" s="15">
        <v>1</v>
      </c>
      <c r="E24" s="30">
        <v>282625000</v>
      </c>
      <c r="F24" s="15">
        <v>1</v>
      </c>
      <c r="G24" s="31">
        <f t="shared" si="1"/>
        <v>282625000</v>
      </c>
    </row>
    <row r="25" spans="1:7" ht="30" customHeight="1" x14ac:dyDescent="0.25">
      <c r="A25" s="28">
        <v>4</v>
      </c>
      <c r="B25" s="14" t="s">
        <v>410</v>
      </c>
      <c r="C25" s="16" t="s">
        <v>407</v>
      </c>
      <c r="D25" s="15">
        <v>1</v>
      </c>
      <c r="E25" s="30">
        <v>113050000</v>
      </c>
      <c r="F25" s="15">
        <v>1</v>
      </c>
      <c r="G25" s="31">
        <f t="shared" si="1"/>
        <v>113050000</v>
      </c>
    </row>
    <row r="26" spans="1:7" ht="30" customHeight="1" x14ac:dyDescent="0.25">
      <c r="A26" s="28">
        <v>5</v>
      </c>
      <c r="B26" s="14" t="s">
        <v>411</v>
      </c>
      <c r="C26" s="16" t="s">
        <v>396</v>
      </c>
      <c r="D26" s="15">
        <v>1</v>
      </c>
      <c r="E26" s="30">
        <v>339150000</v>
      </c>
      <c r="F26" s="15">
        <v>36</v>
      </c>
      <c r="G26" s="31">
        <f t="shared" si="1"/>
        <v>12209400000</v>
      </c>
    </row>
    <row r="27" spans="1:7" ht="30" customHeight="1" x14ac:dyDescent="0.25">
      <c r="A27" s="28">
        <v>6</v>
      </c>
      <c r="B27" s="14" t="s">
        <v>412</v>
      </c>
      <c r="C27" s="16" t="s">
        <v>396</v>
      </c>
      <c r="D27" s="15">
        <v>1</v>
      </c>
      <c r="E27" s="30">
        <v>109480000</v>
      </c>
      <c r="F27" s="15">
        <v>36</v>
      </c>
      <c r="G27" s="31">
        <f t="shared" si="1"/>
        <v>3941280000</v>
      </c>
    </row>
    <row r="28" spans="1:7" ht="30" customHeight="1" x14ac:dyDescent="0.25">
      <c r="A28" s="28">
        <v>7</v>
      </c>
      <c r="B28" s="14" t="s">
        <v>413</v>
      </c>
      <c r="C28" s="16" t="s">
        <v>191</v>
      </c>
      <c r="D28" s="15">
        <v>1</v>
      </c>
      <c r="E28" s="30">
        <v>54740000</v>
      </c>
      <c r="F28" s="15">
        <v>36</v>
      </c>
      <c r="G28" s="31">
        <f t="shared" si="1"/>
        <v>1970640000</v>
      </c>
    </row>
    <row r="29" spans="1:7" ht="30" customHeight="1" x14ac:dyDescent="0.25">
      <c r="A29" s="28">
        <v>8</v>
      </c>
      <c r="B29" s="14" t="s">
        <v>414</v>
      </c>
      <c r="C29" s="16" t="s">
        <v>415</v>
      </c>
      <c r="D29" s="15">
        <v>3</v>
      </c>
      <c r="E29" s="30">
        <v>69020000</v>
      </c>
      <c r="F29" s="15">
        <v>1</v>
      </c>
      <c r="G29" s="31">
        <f t="shared" si="1"/>
        <v>207060000</v>
      </c>
    </row>
    <row r="30" spans="1:7" x14ac:dyDescent="0.25">
      <c r="A30" s="65" t="s">
        <v>416</v>
      </c>
      <c r="B30" s="65"/>
      <c r="C30" s="65"/>
      <c r="D30" s="65"/>
      <c r="E30" s="65"/>
      <c r="F30" s="65"/>
      <c r="G30" s="7">
        <f>SUM(G22:G29)</f>
        <v>19357730000</v>
      </c>
    </row>
    <row r="32" spans="1:7" ht="30" customHeight="1" x14ac:dyDescent="0.25">
      <c r="A32" s="66" t="s">
        <v>417</v>
      </c>
      <c r="B32" s="66"/>
      <c r="C32" s="66"/>
      <c r="D32" s="66"/>
      <c r="E32" s="66"/>
      <c r="F32" s="66"/>
      <c r="G32" s="33">
        <f>G12+G19+G30</f>
        <v>82372992437.94873</v>
      </c>
    </row>
    <row r="36" spans="7:7" x14ac:dyDescent="0.25">
      <c r="G36" s="39"/>
    </row>
  </sheetData>
  <mergeCells count="8">
    <mergeCell ref="A21:G21"/>
    <mergeCell ref="A30:F30"/>
    <mergeCell ref="A32:F32"/>
    <mergeCell ref="A1:G1"/>
    <mergeCell ref="A4:G4"/>
    <mergeCell ref="A12:F12"/>
    <mergeCell ref="A14:G14"/>
    <mergeCell ref="A19:F19"/>
  </mergeCells>
  <printOptions horizontalCentered="1"/>
  <pageMargins left="0.75" right="0.75" top="1" bottom="1" header="0.511811023622047" footer="0.511811023622047"/>
  <pageSetup fitToHeight="0"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8D94D1DAF718B41AF70C0134AA7CA1D" ma:contentTypeVersion="18" ma:contentTypeDescription="Crear nuevo documento." ma:contentTypeScope="" ma:versionID="b9fdb17714d65ffb5613b9832337e13d">
  <xsd:schema xmlns:xsd="http://www.w3.org/2001/XMLSchema" xmlns:xs="http://www.w3.org/2001/XMLSchema" xmlns:p="http://schemas.microsoft.com/office/2006/metadata/properties" xmlns:ns2="369764c6-2b19-43e8-97fd-33d1289fb865" xmlns:ns3="8b49ab12-44e2-4d3d-8e83-768bbeea150e" targetNamespace="http://schemas.microsoft.com/office/2006/metadata/properties" ma:root="true" ma:fieldsID="168d2e591a3e9ed7d811a8cbf1332b92" ns2:_="" ns3:_="">
    <xsd:import namespace="369764c6-2b19-43e8-97fd-33d1289fb865"/>
    <xsd:import namespace="8b49ab12-44e2-4d3d-8e83-768bbeea150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AutoKeyPoints" minOccurs="0"/>
                <xsd:element ref="ns3:MediaServiceKeyPoint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Location" minOccurs="0"/>
                <xsd:element ref="ns3:MediaServiceSearchProperties" minOccurs="0"/>
                <xsd:element ref="ns3:MediaServiceObjectDetectorVers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9764c6-2b19-43e8-97fd-33d1289fb865"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8" nillable="true" ma:displayName="Taxonomy Catch All Column" ma:hidden="true" ma:list="{4f4a2216-e62a-401c-a6ba-f44820a61c54}" ma:internalName="TaxCatchAll" ma:showField="CatchAllData" ma:web="369764c6-2b19-43e8-97fd-33d1289fb86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b49ab12-44e2-4d3d-8e83-768bbeea150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497d6faa-c90a-44ea-9a60-3256c0853f5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49ab12-44e2-4d3d-8e83-768bbeea150e">
      <Terms xmlns="http://schemas.microsoft.com/office/infopath/2007/PartnerControls"/>
    </lcf76f155ced4ddcb4097134ff3c332f>
    <TaxCatchAll xmlns="369764c6-2b19-43e8-97fd-33d1289fb865" xsi:nil="true"/>
  </documentManagement>
</p:properties>
</file>

<file path=customXml/itemProps1.xml><?xml version="1.0" encoding="utf-8"?>
<ds:datastoreItem xmlns:ds="http://schemas.openxmlformats.org/officeDocument/2006/customXml" ds:itemID="{75F6A23A-763C-4222-BB19-52EED5F32E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9764c6-2b19-43e8-97fd-33d1289fb865"/>
    <ds:schemaRef ds:uri="8b49ab12-44e2-4d3d-8e83-768bbeea15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004384-253E-4808-805B-AF04C68CB81C}">
  <ds:schemaRefs>
    <ds:schemaRef ds:uri="http://schemas.microsoft.com/sharepoint/v3/contenttype/forms"/>
  </ds:schemaRefs>
</ds:datastoreItem>
</file>

<file path=customXml/itemProps3.xml><?xml version="1.0" encoding="utf-8"?>
<ds:datastoreItem xmlns:ds="http://schemas.openxmlformats.org/officeDocument/2006/customXml" ds:itemID="{5C4CBDFE-5AA5-4926-AF50-536BA751F1CA}">
  <ds:schemaRefs>
    <ds:schemaRef ds:uri="http://schemas.microsoft.com/office/2006/metadata/properties"/>
    <ds:schemaRef ds:uri="http://schemas.microsoft.com/office/infopath/2007/PartnerControls"/>
    <ds:schemaRef ds:uri="8b49ab12-44e2-4d3d-8e83-768bbeea150e"/>
    <ds:schemaRef ds:uri="369764c6-2b19-43e8-97fd-33d1289fb865"/>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0. Resumen Ejecutivo</vt:lpstr>
      <vt:lpstr>1. Parámetros</vt:lpstr>
      <vt:lpstr>D1. Conectividad</vt:lpstr>
      <vt:lpstr>D2. Seguridad</vt:lpstr>
      <vt:lpstr>D3. Videoconferencia</vt:lpstr>
      <vt:lpstr>D4. Cableado</vt:lpstr>
      <vt:lpstr>P6. Perfiles</vt:lpstr>
      <vt:lpstr>GG. Gastos Generales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Gustavo Adolfo Palacio Olarte</cp:lastModifiedBy>
  <cp:revision>0</cp:revision>
  <dcterms:created xsi:type="dcterms:W3CDTF">2026-05-29T23:11:23Z</dcterms:created>
  <dcterms:modified xsi:type="dcterms:W3CDTF">2026-08-13T14:28:11Z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0x01010068D94D1DAF718B41AF70C0134AA7CA1D</vt:lpwstr>
  </property>
</Properties>
</file>