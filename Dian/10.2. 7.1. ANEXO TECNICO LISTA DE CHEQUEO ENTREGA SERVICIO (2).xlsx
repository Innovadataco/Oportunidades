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70FE2E2-5068-4795-AFE6-D1ECB5B06ACB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Portada" sheetId="1" r:id="rId1"/>
    <sheet name="Lista de Chequeo" sheetId="2" r:id="rId2"/>
    <sheet name="Resumen" sheetId="3" r:id="rId3"/>
    <sheet name="Categorías" sheetId="4" r:id="rId4"/>
  </sheets>
  <definedNames>
    <definedName name="_xlnm._FilterDatabase" localSheetId="1" hidden="1">'Lista de Chequeo'!$A$1:$M$1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G23" i="3"/>
  <c r="G22" i="3"/>
  <c r="G21" i="3"/>
  <c r="G20" i="3"/>
  <c r="G19" i="3"/>
  <c r="I13" i="3"/>
  <c r="H13" i="3"/>
  <c r="G13" i="3"/>
  <c r="F13" i="3"/>
  <c r="E13" i="3"/>
  <c r="J13" i="3" s="1"/>
  <c r="D13" i="3"/>
  <c r="I12" i="3"/>
  <c r="H12" i="3"/>
  <c r="G12" i="3"/>
  <c r="F12" i="3"/>
  <c r="E12" i="3"/>
  <c r="J12" i="3" s="1"/>
  <c r="D12" i="3"/>
  <c r="I11" i="3"/>
  <c r="H11" i="3"/>
  <c r="G11" i="3"/>
  <c r="F11" i="3"/>
  <c r="E11" i="3"/>
  <c r="J11" i="3" s="1"/>
  <c r="D11" i="3"/>
  <c r="I10" i="3"/>
  <c r="H10" i="3"/>
  <c r="G10" i="3"/>
  <c r="F10" i="3"/>
  <c r="E10" i="3"/>
  <c r="J10" i="3" s="1"/>
  <c r="D10" i="3"/>
  <c r="I9" i="3"/>
  <c r="H9" i="3"/>
  <c r="G9" i="3"/>
  <c r="F9" i="3"/>
  <c r="E9" i="3"/>
  <c r="J9" i="3" s="1"/>
  <c r="D9" i="3"/>
  <c r="I8" i="3"/>
  <c r="H8" i="3"/>
  <c r="G8" i="3"/>
  <c r="F8" i="3"/>
  <c r="E8" i="3"/>
  <c r="J8" i="3" s="1"/>
  <c r="D8" i="3"/>
  <c r="I7" i="3"/>
  <c r="H7" i="3"/>
  <c r="G7" i="3"/>
  <c r="F7" i="3"/>
  <c r="E7" i="3"/>
  <c r="J7" i="3" s="1"/>
  <c r="D7" i="3"/>
  <c r="I6" i="3"/>
  <c r="H6" i="3"/>
  <c r="G6" i="3"/>
  <c r="F6" i="3"/>
  <c r="E6" i="3"/>
  <c r="J6" i="3" s="1"/>
  <c r="D6" i="3"/>
  <c r="I5" i="3"/>
  <c r="H5" i="3"/>
  <c r="G5" i="3"/>
  <c r="F5" i="3"/>
  <c r="E5" i="3"/>
  <c r="J5" i="3" s="1"/>
  <c r="D5" i="3"/>
  <c r="I12" i="4"/>
  <c r="H12" i="4"/>
  <c r="G12" i="4"/>
  <c r="F12" i="4"/>
  <c r="E12" i="4"/>
  <c r="D12" i="4"/>
  <c r="C12" i="4"/>
  <c r="I11" i="4"/>
  <c r="H11" i="4"/>
  <c r="G11" i="4"/>
  <c r="F11" i="4"/>
  <c r="E11" i="4"/>
  <c r="D11" i="4"/>
  <c r="C11" i="4"/>
  <c r="I10" i="4"/>
  <c r="H10" i="4"/>
  <c r="G10" i="4"/>
  <c r="F10" i="4"/>
  <c r="E10" i="4"/>
  <c r="D10" i="4"/>
  <c r="C10" i="4"/>
  <c r="I9" i="4"/>
  <c r="H9" i="4"/>
  <c r="G9" i="4"/>
  <c r="F9" i="4"/>
  <c r="E9" i="4"/>
  <c r="D9" i="4"/>
  <c r="C9" i="4"/>
  <c r="I8" i="4"/>
  <c r="H8" i="4"/>
  <c r="G8" i="4"/>
  <c r="F8" i="4"/>
  <c r="E8" i="4"/>
  <c r="D8" i="4"/>
  <c r="C8" i="4"/>
  <c r="I7" i="4"/>
  <c r="H7" i="4"/>
  <c r="G7" i="4"/>
  <c r="F7" i="4"/>
  <c r="E7" i="4"/>
  <c r="D7" i="4"/>
  <c r="C7" i="4"/>
  <c r="I6" i="4"/>
  <c r="H6" i="4"/>
  <c r="G6" i="4"/>
  <c r="F6" i="4"/>
  <c r="E6" i="4"/>
  <c r="D6" i="4"/>
  <c r="C6" i="4"/>
  <c r="I5" i="4"/>
  <c r="H5" i="4"/>
  <c r="G5" i="4"/>
  <c r="F5" i="4"/>
  <c r="E5" i="4"/>
  <c r="D5" i="4"/>
  <c r="C5" i="4"/>
</calcChain>
</file>

<file path=xl/sharedStrings.xml><?xml version="1.0" encoding="utf-8"?>
<sst xmlns="http://schemas.openxmlformats.org/spreadsheetml/2006/main" count="722" uniqueCount="401">
  <si>
    <t>FISCALÍA GENERAL DE LA NACIÓN</t>
  </si>
  <si>
    <t>Lista de Chequeo. Entrega Completa del Servicio</t>
  </si>
  <si>
    <t>Anexo Técnico 7.1. Lista de Chequeo Entrega Servicio. Alineado con Anexo Técnico 7. Protocolo de Transición (M1-M10)</t>
  </si>
  <si>
    <t>Documento alineado con:</t>
  </si>
  <si>
    <t>• Anexo Técnico 1 (Conectividad 2026)</t>
  </si>
  <si>
    <t>• Anexo Técnico 1.1 (Matriz de Sedes). Columna ID Nodo como clave primaria.</t>
  </si>
  <si>
    <t>• Anexo Técnico 7. Protocolo de Transición. Secciones T1 a T13 y Apéndices A-F.</t>
  </si>
  <si>
    <t>• Anexo Técnico 7. Protocolo de Transición. Cronograma de referencia (Hitos M1-M10).</t>
  </si>
  <si>
    <t>• Anexo Técnico 5 — Acuerdo de Niveles de Servicio (Catálogo ANS FGN: umbrales, prioridades y penalidades).</t>
  </si>
  <si>
    <t>• Anexo Técnico 2 (Seguridad Digital y Ciberseguridad). Generalidades — herramienta ITSM institucional.</t>
  </si>
  <si>
    <t>• Anexo Técnico 6 (Perfiles Profesionales). P2.5, P2.6 y otros.</t>
  </si>
  <si>
    <t>Fases del proceso:</t>
  </si>
  <si>
    <t>• FASE 1. Planeación e inicio (M1)</t>
  </si>
  <si>
    <t>• FASE 2. Diseño y aprobación (M1-M2)</t>
  </si>
  <si>
    <t>• FASE 3. Habilitación de nodos Categoría 1 (Datacenters) (M3)</t>
  </si>
  <si>
    <t>• FASE 4. Implementación por sede (Categoría 2 a Categoría 6) (M4-M8)</t>
  </si>
  <si>
    <t>• FASE 5. Runbook de corte y PAT por sede (M3-M8)</t>
  </si>
  <si>
    <t>• FASE 6. Retirada del PROVEEDOR SALIENTE (M9-M10)</t>
  </si>
  <si>
    <t>• FASE 7. Operación y reportes (mensual)</t>
  </si>
  <si>
    <t>• FASE 8. Cierre del contrato (M10)</t>
  </si>
  <si>
    <t>Hitos maestros (Anexo Técnico 7. Protocolo de Transición. Cronograma de referencia):</t>
  </si>
  <si>
    <t>M1. Knowledge Transfer recibido del PROVEEDOR SALIENTE</t>
  </si>
  <si>
    <t>M2. Inventario CMDB validado. PDT aprobado.</t>
  </si>
  <si>
    <t>M3. Datacenters Categoría 1 operativos en nueva plataforma.</t>
  </si>
  <si>
    <t>M4. Inicio de despliegue Categoría 2, Sedes Principales.</t>
  </si>
  <si>
    <t>M5. Inicio de despliegue Categoría 3, Sedes Intermedias.</t>
  </si>
  <si>
    <t>M6. Despliegue Categorías 2 y 3 completado.</t>
  </si>
  <si>
    <t>M7. Categoría 4 LEO Empresarial completada.</t>
  </si>
  <si>
    <t>M8. Categorías 5 y 6 completadas.</t>
  </si>
  <si>
    <t>M9. Estabilización: 30 días sin rollbacks críticos.</t>
  </si>
  <si>
    <t>M10. Acta de Cierre del Protocolo suscrita.</t>
  </si>
  <si>
    <t>Cómo usar:</t>
  </si>
  <si>
    <t>1. En la hoja 'Lista de Chequeo' diligencie las columnas Estado, Responsable, Fecha límite, Evidencia y Observaciones.</t>
  </si>
  <si>
    <t>2. La columna 'Estado' acepta: Pendiente, En curso, Cumplido, No aplica, Bloqueado.</t>
  </si>
  <si>
    <t>3. La columna 'Sede / ID Nodo (Anexo 1.1)' es obligatoria para los ítems con Categoría asignada (excepto Cat=Todas).</t>
  </si>
  <si>
    <t>4. La hoja Resumen calcula avance por fase y consolida los KPIs semanales del Anexo Técnico 7. Protocolo de Transición, T4.</t>
  </si>
  <si>
    <t>5. La hoja 'Categorías' muestra avance cruzado Fase × Categoría.</t>
  </si>
  <si>
    <t>6. La hoja Resumen acumula los indicadores del Reporte Semanal (Anexo Técnico 7. Apéndice D).</t>
  </si>
  <si>
    <t>Fase</t>
  </si>
  <si>
    <t>ID</t>
  </si>
  <si>
    <t>Descripción del ítem</t>
  </si>
  <si>
    <t>Categoría aplicable</t>
  </si>
  <si>
    <t>Hito</t>
  </si>
  <si>
    <t>Ref. Anexo 7 (T)</t>
  </si>
  <si>
    <t>Ref. Otros anexos</t>
  </si>
  <si>
    <t>Estado</t>
  </si>
  <si>
    <t>Responsable</t>
  </si>
  <si>
    <t>Fecha Límite</t>
  </si>
  <si>
    <t>Evidencia / URL</t>
  </si>
  <si>
    <t>Sede / ID Nodo (Anexo 1.1)</t>
  </si>
  <si>
    <t>Observaciones</t>
  </si>
  <si>
    <t>FASE 1. Planeación e inicio (M1)</t>
  </si>
  <si>
    <t>Todas</t>
  </si>
  <si>
    <t>8.1</t>
  </si>
  <si>
    <t>Designación formal del Gestor de Transición (Anexo 6 P2.5) como punto único de contacto.</t>
  </si>
  <si>
    <t>T1.1</t>
  </si>
  <si>
    <t>Anexo 6. P2.5</t>
  </si>
  <si>
    <t>8.2</t>
  </si>
  <si>
    <t>Designación del Coordinador de Salida del PROVEEDOR SALIENTE (Anexo 6 P2.6).</t>
  </si>
  <si>
    <t>Anexo 6. P2.6</t>
  </si>
  <si>
    <t>8.3</t>
  </si>
  <si>
    <t>Designación del Supervisor del contrato y del Equipo TIC de FGN para la transición.</t>
  </si>
  <si>
    <t>8.4</t>
  </si>
  <si>
    <t>Verificación de Registro TIC vigente del PROVEEDOR ENTRANTE.</t>
  </si>
  <si>
    <t>Anexo 1. Calidad</t>
  </si>
  <si>
    <t>7.5</t>
  </si>
  <si>
    <t>Acuerdo de Confidencialidad / NDA suscrito entre las partes para Knowledge Transfer.</t>
  </si>
  <si>
    <t>M1</t>
  </si>
  <si>
    <t>T9.1</t>
  </si>
  <si>
    <t>Anexo 1. C17</t>
  </si>
  <si>
    <t>4.6</t>
  </si>
  <si>
    <t>Designación de Interventoría con alcance específico sobre el protocolo de transición.</t>
  </si>
  <si>
    <t>4.7</t>
  </si>
  <si>
    <t>Knowledge Transfer recibido del PROVEEDOR SALIENTE con actas y videos de sesiones.</t>
  </si>
  <si>
    <t>T1 / T2</t>
  </si>
  <si>
    <t>Anexo Técnico 7. RACI</t>
  </si>
  <si>
    <t>FASE 2. Diseño y aprobación (M1-M2)</t>
  </si>
  <si>
    <t>1.1</t>
  </si>
  <si>
    <t>Plan Detallado de Transición (PDT). Entregado dentro de M1.</t>
  </si>
  <si>
    <t>M2</t>
  </si>
  <si>
    <t>T2 (Entregable 1)</t>
  </si>
  <si>
    <t>Anexo Técnico 7. T2</t>
  </si>
  <si>
    <t>1.2</t>
  </si>
  <si>
    <t>Inventario completo de sedes y servicios a migrar. Entregado en M1, validado contra Anexo 1.1.</t>
  </si>
  <si>
    <t>T2 (Entregable 2)</t>
  </si>
  <si>
    <t>Anexo 1.1</t>
  </si>
  <si>
    <t>1.3</t>
  </si>
  <si>
    <t>Documentación técnica de la plataforma actual (configs, IPs, políticas, VLAN). Dentro de M1.</t>
  </si>
  <si>
    <t>T2 (Entregable 3)</t>
  </si>
  <si>
    <t>1.4</t>
  </si>
  <si>
    <t>Cronograma de cortes por sede con ventanas de mantenimiento. Dentro de M1.</t>
  </si>
  <si>
    <t>T2 (Entregable 4)</t>
  </si>
  <si>
    <t>Cronograma maestro</t>
  </si>
  <si>
    <t>1.5</t>
  </si>
  <si>
    <t>Procedimientos de rollback por categoría. Dentro de M1.</t>
  </si>
  <si>
    <t>T2 (Ent. 5) / T12</t>
  </si>
  <si>
    <t>Anexo Técnico 7. T12</t>
  </si>
  <si>
    <t>1.6</t>
  </si>
  <si>
    <t>Plan de comunicación y gestión del cambio. Antes del cierre de M2.</t>
  </si>
  <si>
    <t>T2 (Ent. 6) / T6</t>
  </si>
  <si>
    <t>Anexo Técnico 7. T6</t>
  </si>
  <si>
    <t>1.7</t>
  </si>
  <si>
    <t>Ambiente de laboratorio/staging para configuración paralela. Antes del cierre de M2.</t>
  </si>
  <si>
    <t>T2 (Entregable 7)</t>
  </si>
  <si>
    <t>7.7</t>
  </si>
  <si>
    <t>Diseño integral SD-WAN (arquitectura activo-activo, VRF/VLAN, segmentación).</t>
  </si>
  <si>
    <t>Anexo 1. C1</t>
  </si>
  <si>
    <t>5.8</t>
  </si>
  <si>
    <t>Plan Detallado de Retiro (PDR) del PROVEEDOR SALIENTE acordado.</t>
  </si>
  <si>
    <t>Anexo Técnico 7. T8</t>
  </si>
  <si>
    <t>T2 (Ent. 9) / T8</t>
  </si>
  <si>
    <t>5.9</t>
  </si>
  <si>
    <t>Plataforma de monitoreo principal puesta en funcionamiento. Antes del cierre de M2.</t>
  </si>
  <si>
    <t>Cat 1</t>
  </si>
  <si>
    <t>M3</t>
  </si>
  <si>
    <t>T2 (Entregable 8)</t>
  </si>
  <si>
    <t>Anexo 1. C8</t>
  </si>
  <si>
    <t>5.10</t>
  </si>
  <si>
    <t>Plan de coexistencia formalizado conforme a T3 (división de responsabilidades, facturación, gobierno de cambios).</t>
  </si>
  <si>
    <t>T3</t>
  </si>
  <si>
    <t>Anexo Técnico 7. T3</t>
  </si>
  <si>
    <t>2.12</t>
  </si>
  <si>
    <t>Matriz RACI específica de la transición acordada y publicada (T1.2).</t>
  </si>
  <si>
    <t>T1.2</t>
  </si>
  <si>
    <t>Anexo 6</t>
  </si>
  <si>
    <t>2.13</t>
  </si>
  <si>
    <t>Catálogo de Riesgos personalizado por el PROVEEDOR ENTRANTE conforme a la taxonomía T5.</t>
  </si>
  <si>
    <t>T5</t>
  </si>
  <si>
    <t>ISO 31000</t>
  </si>
  <si>
    <t>FASE 3. Habilitación nodos Categoría 1 (Datacenters) (M3)</t>
  </si>
  <si>
    <t>2.1</t>
  </si>
  <si>
    <t>Datacenter Bogotá: 1 canal Internet ≥ 5 Gbps, hand-off independiente.</t>
  </si>
  <si>
    <t>T10.1</t>
  </si>
  <si>
    <t>Anexo 1. Cat 1 / C9</t>
  </si>
  <si>
    <t>2.2</t>
  </si>
  <si>
    <t>Datacenter Cali: 1 canal Internet ≥ 5 Gbps, hand-off independiente.</t>
  </si>
  <si>
    <t>2.3</t>
  </si>
  <si>
    <t>2 canales de datos ≥ 5 Gbps (uno por nodo Bogotá / Cali) operativos.</t>
  </si>
  <si>
    <t>Anexo 1. Cat 1</t>
  </si>
  <si>
    <t>2.4</t>
  </si>
  <si>
    <t>2 canales de interconexión dedicada a Azure (ExpressRoute o equivalente).</t>
  </si>
  <si>
    <t>Cat 1 / Cat 5</t>
  </si>
  <si>
    <t>T10.1 / T10.5</t>
  </si>
  <si>
    <t>Anexo 1. Cat 5</t>
  </si>
  <si>
    <t>2.5</t>
  </si>
  <si>
    <t>2 canales de interconexión dedicada a OCI (FastConnect o equivalente).</t>
  </si>
  <si>
    <t>2.6</t>
  </si>
  <si>
    <t>Modo ACTIVO-ACTIVO funcional entre Bogotá y Cali con balanceo demostrado.</t>
  </si>
  <si>
    <t>Anexo 1. C3.2 / Cat 1</t>
  </si>
  <si>
    <t>2.7</t>
  </si>
  <si>
    <t>Componentes de seguridad perimetral en Cat 1 (NGFW, WAF, DDoS, IPS/IDS, SSL Inspection).</t>
  </si>
  <si>
    <t>T9 / T11</t>
  </si>
  <si>
    <t>Anexo 2. S1, S2, S3</t>
  </si>
  <si>
    <t>2.8</t>
  </si>
  <si>
    <t>Switches core Bogotá (HA) y Cali (standalone) configurados y operativos.</t>
  </si>
  <si>
    <t>Anexo 1. C18</t>
  </si>
  <si>
    <t>2.9</t>
  </si>
  <si>
    <t>Servidor SFTP licenciado, instalado y operativo en el nivel Cat 1.</t>
  </si>
  <si>
    <t>Anexo 1. C3.5</t>
  </si>
  <si>
    <t>2.10</t>
  </si>
  <si>
    <t>Plataforma ITSM operativa y CMDB inicializada para la transición.</t>
  </si>
  <si>
    <t>T7 / T9.3</t>
  </si>
  <si>
    <t>Anexo 2. Generalidades</t>
  </si>
  <si>
    <t>2.11</t>
  </si>
  <si>
    <t>Inicio de despliegue Categoría 2, primera sede validada en M3 (después de consolidar Cat.1).</t>
  </si>
  <si>
    <t>Cat 2</t>
  </si>
  <si>
    <t>M4</t>
  </si>
  <si>
    <t>T10.2</t>
  </si>
  <si>
    <t>FASE 4. Implementación por sede Cat.2 a Cat.6 (M4-M8)</t>
  </si>
  <si>
    <t>3.1</t>
  </si>
  <si>
    <t>Categoría 2. Sedes principales: 1 canal WAN dedicado + 1 canal Internet por sede activa.</t>
  </si>
  <si>
    <t>M6</t>
  </si>
  <si>
    <t>Anexo 1. C3 / Anexo 1.1</t>
  </si>
  <si>
    <t>3.2</t>
  </si>
  <si>
    <t>Categoría 2. CPE SD-WAN instalado, configurado y probado en modo pasivo ≥ 24 h previas.</t>
  </si>
  <si>
    <t>T10.1 / T10.2</t>
  </si>
  <si>
    <t>3.3</t>
  </si>
  <si>
    <t>Categoría 2. PAT superada por sede y Acta de Activación (Apéndice B) suscrita.</t>
  </si>
  <si>
    <t>T11 / T7</t>
  </si>
  <si>
    <t>Anexo Técnico 7. Apéndice B</t>
  </si>
  <si>
    <t>3.4</t>
  </si>
  <si>
    <t>Categoría 3. Ciudades intermedias: 1 canal MPLS/IP VPN + 1 Internet por sede activa.</t>
  </si>
  <si>
    <t>Cat 3</t>
  </si>
  <si>
    <t>T10.3</t>
  </si>
  <si>
    <t>Anexo 1. C3 / Cat 3</t>
  </si>
  <si>
    <t>3.5</t>
  </si>
  <si>
    <t>Categoría 3. CPE SD-WAN instalado, configurado y probado en modo pasivo ≥ 24 h previas.</t>
  </si>
  <si>
    <t>T10.1 / T10.3</t>
  </si>
  <si>
    <t>3.6</t>
  </si>
  <si>
    <t>Categoría 3. PAT superada por sede y Acta de Activación suscrita.</t>
  </si>
  <si>
    <t>3.7</t>
  </si>
  <si>
    <t>Categoría 4. Satelital LEO empresarial integrada al CPE SD-WAN por sede.</t>
  </si>
  <si>
    <t>Cat 4</t>
  </si>
  <si>
    <t>M7</t>
  </si>
  <si>
    <t>T10.4</t>
  </si>
  <si>
    <t>Anexo 1. Cat 4</t>
  </si>
  <si>
    <t>3.8</t>
  </si>
  <si>
    <t>Categoría 4. Terminal LEO certificado por proveedor satelital y configurado.</t>
  </si>
  <si>
    <t>3.9</t>
  </si>
  <si>
    <t>Categoría 4. PAT superada con latencia ≤ ANS y throughput ≥ 90 %.</t>
  </si>
  <si>
    <t>T11 / T11.1</t>
  </si>
  <si>
    <t>Anexo Técnico 5</t>
  </si>
  <si>
    <t>3.10</t>
  </si>
  <si>
    <t>Categoría 5. Conectividad cloud Azure + OCI integrada al overlay SD-WAN.</t>
  </si>
  <si>
    <t>Cat 5</t>
  </si>
  <si>
    <t>M3-M8</t>
  </si>
  <si>
    <t>T10.5</t>
  </si>
  <si>
    <t>3.11</t>
  </si>
  <si>
    <t>Categoría 5. BGP estable 30 min sin oscilación tras la migración del peering.</t>
  </si>
  <si>
    <t>T10.5 / T11</t>
  </si>
  <si>
    <t>5.11</t>
  </si>
  <si>
    <t>Categoría 6. Canales complementarios habilitados según orden de FGN (4G/5G, LEO de respaldo).</t>
  </si>
  <si>
    <t>Cat 6</t>
  </si>
  <si>
    <t>T10.6</t>
  </si>
  <si>
    <t>Anexo 1. Cat 6</t>
  </si>
  <si>
    <t>5.12</t>
  </si>
  <si>
    <t>Categoría 6. Failover automático probado al canal complementario y bitácora.</t>
  </si>
  <si>
    <t>5.13</t>
  </si>
  <si>
    <t>Transversal. IPv4/IPv6 dual-stack operativo en CPE y solución SD-WAN.</t>
  </si>
  <si>
    <t>Anexo 1. C4.13</t>
  </si>
  <si>
    <t>5.14</t>
  </si>
  <si>
    <t>Transversal. Direccionamiento LAN y VLAN preservados por sede.</t>
  </si>
  <si>
    <t>Anexo 1. C3.4</t>
  </si>
  <si>
    <t>5.15</t>
  </si>
  <si>
    <t>Transversal. Hand-off independiente entre PROVEEDOR ENTRANTE y LAN interna.</t>
  </si>
  <si>
    <t>4.17</t>
  </si>
  <si>
    <t>Transversal. Sincronización NTP a hora legal colombiana en todos los dispositivos.</t>
  </si>
  <si>
    <t>T9.3</t>
  </si>
  <si>
    <t>4.18</t>
  </si>
  <si>
    <t>Transversal. Bitácora de sede (Apéndice E) diligenciada por cada corte ejecutado.</t>
  </si>
  <si>
    <t>M6-M8</t>
  </si>
  <si>
    <t>T7 / Apéndice E</t>
  </si>
  <si>
    <t>Anexo Técnico 7. Apéndice E</t>
  </si>
  <si>
    <t>FASE 5. Runbook de corte y PAT por sede (M3-M8)</t>
  </si>
  <si>
    <t>4.1</t>
  </si>
  <si>
    <t>Notificación al Supervisor con ≥ 72 horas de anticipación (correo + ticket ITSM).</t>
  </si>
  <si>
    <t>T10.1 paso 1</t>
  </si>
  <si>
    <t>4.2</t>
  </si>
  <si>
    <t>Ventana de mantenimiento programada en horario de baja demanda (22:00-05:00).</t>
  </si>
  <si>
    <t>T10.1 paso 3</t>
  </si>
  <si>
    <t>4.3</t>
  </si>
  <si>
    <t>Backup de configuración del equipo / enlace anterior entregado a FGN TIC antes del corte.</t>
  </si>
  <si>
    <t>T10.1 paso 4</t>
  </si>
  <si>
    <t>4.4</t>
  </si>
  <si>
    <t>PAT. Sin pérdida de continuidad durante la ventana de prueba (0 interrupciones), mediante ping continuo a la interfaz de gateway (15 min).</t>
  </si>
  <si>
    <t>T11</t>
  </si>
  <si>
    <t>4.5</t>
  </si>
  <si>
    <t>PAT. Latencia (RTT) ≤ ANS definido por categoría (ICMP / iPerf3, 10 min).</t>
  </si>
  <si>
    <t>PAT. Jitter ≤ 10 ms y dentro del umbral de IPDV del trayecto aplicable (iPerf3 UDP, 10 min).</t>
  </si>
  <si>
    <t>PAT. Pérdida de paquetes ≤ 0,5 % (iPerf3 UDP, 10 min).</t>
  </si>
  <si>
    <t>4.8</t>
  </si>
  <si>
    <t>PAT. Ancho de banda ≥ 90 % del contratado (iPerf3 TCP, 5 min).</t>
  </si>
  <si>
    <t>4.9</t>
  </si>
  <si>
    <t>PAT. 100 % de aplicaciones críticas FGN accesibles (manual, 30 min).</t>
  </si>
  <si>
    <t>Anexo 2</t>
  </si>
  <si>
    <t>4.10</t>
  </si>
  <si>
    <t>PAT. Políticas de seguridad activas (FW, segmentación, cifrado overlay).</t>
  </si>
  <si>
    <t>4.11</t>
  </si>
  <si>
    <t>PAT. Sede gestionable desde consola SD-WAN central.</t>
  </si>
  <si>
    <t>4.12</t>
  </si>
  <si>
    <t>Acta de Activación de Sede (Apéndice B) suscrita por FGN TIC + PROVEEDOR ENTRANTE.</t>
  </si>
  <si>
    <t>T7 / Apéndice B</t>
  </si>
  <si>
    <t>4.13</t>
  </si>
  <si>
    <t>Registros fotográficos, planos de ruta y configuraciones entregados a FGN.</t>
  </si>
  <si>
    <t>T7</t>
  </si>
  <si>
    <t>Anexo 1. C14</t>
  </si>
  <si>
    <t>4.14</t>
  </si>
  <si>
    <t>PAT. Verificación del cumplimiento de los umbrales por Categoría definidos en el Anexo Técnico 5.</t>
  </si>
  <si>
    <t>4.15</t>
  </si>
  <si>
    <t>Rollback ejecutado dentro del tiempo máximo de la categoría (cuando aplique).</t>
  </si>
  <si>
    <t>T12.2 / Apéndice F</t>
  </si>
  <si>
    <t>4.16</t>
  </si>
  <si>
    <t>CMDB actualizada con la nueva configuración por sede tras la activación.</t>
  </si>
  <si>
    <t>FASE 6. Retirada del PROVEEDOR SALIENTE (M9-M10)</t>
  </si>
  <si>
    <t>5.1</t>
  </si>
  <si>
    <t>Inventario final de equipos, licencias y credenciales entregado por el PROVEEDOR SALIENTE.</t>
  </si>
  <si>
    <t>M9-M10</t>
  </si>
  <si>
    <t>T8.1</t>
  </si>
  <si>
    <t>5.2</t>
  </si>
  <si>
    <t>Desmonte físico de equipos y cableado de última milla del PROVEEDOR SALIENTE.</t>
  </si>
  <si>
    <t>T8.2</t>
  </si>
  <si>
    <t>5.3</t>
  </si>
  <si>
    <t>Revocación de accesos lógicos y físicos a infraestructura FGN dentro de 5 días hábiles.</t>
  </si>
  <si>
    <t>T8.3</t>
  </si>
  <si>
    <t>5.4</t>
  </si>
  <si>
    <t>Destrucción certificada o devolución de información FGN.</t>
  </si>
  <si>
    <t>T8.4</t>
  </si>
  <si>
    <t>Política de Protección de Datos</t>
  </si>
  <si>
    <t>5.5</t>
  </si>
  <si>
    <t>Acta de Cierre del PROVEEDOR SALIENTE suscrita (Apéndice C).</t>
  </si>
  <si>
    <t>M10</t>
  </si>
  <si>
    <t>T8.5 / Apéndice C</t>
  </si>
  <si>
    <t>Anexo Técnico 7. Apéndice C</t>
  </si>
  <si>
    <t>5.6</t>
  </si>
  <si>
    <t>Entrega de logs en formatos estructurados, normalizados y procesables.</t>
  </si>
  <si>
    <t>T9.2</t>
  </si>
  <si>
    <t>5.7</t>
  </si>
  <si>
    <t>Auditoría de revocación de accesos por SIEM (Anexo 2). Sin accesos residuales.</t>
  </si>
  <si>
    <t>Anexo 2. SIEM</t>
  </si>
  <si>
    <t>FASE 7. Operación y reportes (mensual)</t>
  </si>
  <si>
    <t>6.1</t>
  </si>
  <si>
    <t>Reporte mensual de cumplimiento de ANS por Categoría (Disponibilidad, MTBF, RTO).</t>
  </si>
  <si>
    <t>Post M10</t>
  </si>
  <si>
    <t>T4 (post-cierre)</t>
  </si>
  <si>
    <t>6.2</t>
  </si>
  <si>
    <t>Reporte de incidentes y rollbacks del período.</t>
  </si>
  <si>
    <t>T4 / T12</t>
  </si>
  <si>
    <t>Anexo Técnico 7. T4</t>
  </si>
  <si>
    <t>6.3</t>
  </si>
  <si>
    <t>Reporte de capacidad y desempeño SD-WAN.</t>
  </si>
  <si>
    <t>Anexo 1. C12</t>
  </si>
  <si>
    <t>6.4</t>
  </si>
  <si>
    <t>Inventario CMDB actualizado (post-transición y permanente).</t>
  </si>
  <si>
    <t>Anexo 1. C13 / Anexo 2. Generalidades</t>
  </si>
  <si>
    <t>6.5</t>
  </si>
  <si>
    <t>Análisis de Ingeniería de Tráfico. Primer informe a los 3 meses.</t>
  </si>
  <si>
    <t>6.6</t>
  </si>
  <si>
    <t>Plan de mantenimiento preventivo aprobado y ejecutado.</t>
  </si>
  <si>
    <t>Anexo 1. C11</t>
  </si>
  <si>
    <t>6.7</t>
  </si>
  <si>
    <t>Cumplimiento ≥ 90 % de efectividad atención de canales de soporte.</t>
  </si>
  <si>
    <t>7.8</t>
  </si>
  <si>
    <t>Gestión de adiciones, cancelaciones, suspensiones y traslados.</t>
  </si>
  <si>
    <t>Anexo 1. C5</t>
  </si>
  <si>
    <t>7.9</t>
  </si>
  <si>
    <t>RTO mensual cumplido por Categoría según la matriz del Anexo Técnico 5.</t>
  </si>
  <si>
    <t>7.10</t>
  </si>
  <si>
    <t>Tiempos de resolución de incidentes cumplidos según matriz Cat/Prioridad.</t>
  </si>
  <si>
    <t>7.11</t>
  </si>
  <si>
    <t>MTBF mensual ≥ 719 h para Cat 1, 2 y 5; ≥ 717 h para Cat 3, 4 y 6, conforme a la matriz del Anexo Técnico 5.</t>
  </si>
  <si>
    <t>FASE 8. Cierre del contrato (M10)</t>
  </si>
  <si>
    <t>7.1</t>
  </si>
  <si>
    <t>Informe final con eventos, KPIs, lecciones aprendidas, georreferenciación.</t>
  </si>
  <si>
    <t>T13</t>
  </si>
  <si>
    <t>Anexo Técnico 7. T13</t>
  </si>
  <si>
    <t>7.2</t>
  </si>
  <si>
    <t>Liberación de IPs públicas asignadas a la FGN.</t>
  </si>
  <si>
    <t>T8</t>
  </si>
  <si>
    <t>Anexo 1. C9.7</t>
  </si>
  <si>
    <t>7.3</t>
  </si>
  <si>
    <t>Entrega de configuraciones y políticas finales aplicadas.</t>
  </si>
  <si>
    <t>T13.2</t>
  </si>
  <si>
    <t>Anexo 1. C13</t>
  </si>
  <si>
    <t>7.4</t>
  </si>
  <si>
    <t>Retiro de equipos (≤ 30 días post-finalización).</t>
  </si>
  <si>
    <t>Disposición final de los equipos del contrato conforme al numeral C17 del Anexo Técnico 1, con acta de recibo suscrita por la FGN.</t>
  </si>
  <si>
    <t>T13.3</t>
  </si>
  <si>
    <t>7.6</t>
  </si>
  <si>
    <t>Acta de Cierre del Protocolo de Transición (Apéndice C) suscrita, único documento habilitante para iniciar la liquidación del contrato anterior.</t>
  </si>
  <si>
    <t>T13 / Apéndice C</t>
  </si>
  <si>
    <t>Resumen de avance. por Fase</t>
  </si>
  <si>
    <t>#</t>
  </si>
  <si>
    <t>Total</t>
  </si>
  <si>
    <t>Cumplido</t>
  </si>
  <si>
    <t>En curso</t>
  </si>
  <si>
    <t>Pendiente</t>
  </si>
  <si>
    <t>No aplica</t>
  </si>
  <si>
    <t>Bloqueado</t>
  </si>
  <si>
    <t>% Cumplimiento</t>
  </si>
  <si>
    <t>TOTAL</t>
  </si>
  <si>
    <t>KPIs Semanales (Anexo Técnico 7. T4 / Apéndice D)</t>
  </si>
  <si>
    <t>Indicador</t>
  </si>
  <si>
    <t>Verde</t>
  </si>
  <si>
    <t>Amarillo</t>
  </si>
  <si>
    <t>Rojo</t>
  </si>
  <si>
    <t>Valor actual</t>
  </si>
  <si>
    <t>Acción</t>
  </si>
  <si>
    <t>% sedes migradas (acumulado)</t>
  </si>
  <si>
    <t>≥ plan</t>
  </si>
  <si>
    <t>−10 % del plan</t>
  </si>
  <si>
    <t>&lt; −10 %</t>
  </si>
  <si>
    <t>En rojo: replan y comité extraordinario.</t>
  </si>
  <si>
    <t>Tasa de éxito de cortes</t>
  </si>
  <si>
    <t>≥ 95 %</t>
  </si>
  <si>
    <t>85-94 %</t>
  </si>
  <si>
    <t>&lt; 85 %</t>
  </si>
  <si>
    <t>En rojo: escalamiento N3 (T6.2).</t>
  </si>
  <si>
    <t>Tiempo promedio de corte (horas)</t>
  </si>
  <si>
    <t>≤ 2 h</t>
  </si>
  <si>
    <t>2-3 h</t>
  </si>
  <si>
    <t>&gt; 3 h</t>
  </si>
  <si>
    <t>En rojo: auditoría MOP, refuerzo cuadrilla.</t>
  </si>
  <si>
    <t>% rollbacks sobre total cortes</t>
  </si>
  <si>
    <t>≤ 2 %</t>
  </si>
  <si>
    <t>2-5 %</t>
  </si>
  <si>
    <t>&gt; 5 %</t>
  </si>
  <si>
    <t>En rojo: pausa de cortes para análisis.</t>
  </si>
  <si>
    <t>Disponibilidad general sedes</t>
  </si>
  <si>
    <t>100 %</t>
  </si>
  <si>
    <t>99,5-99,9 %</t>
  </si>
  <si>
    <t>&lt; 99,5 %</t>
  </si>
  <si>
    <t>En rojo: activación DRP.</t>
  </si>
  <si>
    <t>Atraso en hitos (semanas)</t>
  </si>
  <si>
    <t>0</t>
  </si>
  <si>
    <t>1-2 semanas</t>
  </si>
  <si>
    <t>&gt; 2 semanas</t>
  </si>
  <si>
    <t>En rojo: escalamiento N3.</t>
  </si>
  <si>
    <t>Avance cruzado. Fase x Categoría</t>
  </si>
  <si>
    <t>Fase / Categoría</t>
  </si>
  <si>
    <t>Leyenda</t>
  </si>
  <si>
    <t>Cada celda muestra el % de cumplimiento de los ítems aplicables a esa Fase y Categoría (ítems con estado "Cumplido" / ítems aplicables). "Todas" incluye los ítems transversales. Para ítems con varias categorías (p. ej. "Cat 1 / Cat 5") el conteo aplica a todas las categorías que contengan el texto.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</si>
</sst>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8"/>
      <color rgb="FF1F3A5F"/>
      <name val="Calibri"/>
    </font>
    <font>
      <b/>
      <sz val="14"/>
      <color rgb="FF1F3A5F"/>
      <name val="Calibri"/>
    </font>
    <font>
      <i/>
      <sz val="12"/>
      <color rgb="FF333333"/>
      <name val="Calibri"/>
    </font>
    <font>
      <b/>
      <sz val="13"/>
      <color rgb="FF1F3A5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8" fillId="0" borderId="0" xfId="0" applyFont="1" applyAlignment="1">
      <alignment horizontal="left"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0"/>
  <sheetViews>
    <sheetView showGridLines="0" workbookViewId="0"/>
  </sheetViews>
  <sheetFormatPr defaultRowHeight="15"/>
  <cols>
    <col min="2" max="8" width="22" customWidth="1"/>
  </cols>
  <sheetData>
    <row r="2" spans="2:8">
      <c r="B2" s="12" t="s">
        <v>0</v>
      </c>
      <c r="C2" s="13"/>
      <c r="D2" s="13"/>
      <c r="E2" s="13"/>
      <c r="F2" s="13"/>
      <c r="G2" s="13"/>
      <c r="H2" s="13"/>
    </row>
    <row r="3" spans="2:8">
      <c r="B3" s="14" t="s">
        <v>1</v>
      </c>
      <c r="C3" s="13"/>
      <c r="D3" s="13"/>
      <c r="E3" s="13"/>
      <c r="F3" s="13"/>
      <c r="G3" s="13"/>
      <c r="H3" s="13"/>
    </row>
    <row r="4" spans="2:8">
      <c r="B4" s="15" t="s">
        <v>2</v>
      </c>
      <c r="C4" s="13"/>
      <c r="D4" s="13"/>
      <c r="E4" s="13"/>
      <c r="F4" s="13"/>
      <c r="G4" s="13"/>
      <c r="H4" s="13"/>
    </row>
    <row r="6" spans="2:8">
      <c r="B6" s="1" t="s">
        <v>3</v>
      </c>
    </row>
    <row r="7" spans="2:8">
      <c r="B7" s="16" t="s">
        <v>4</v>
      </c>
      <c r="C7" s="13"/>
      <c r="D7" s="13"/>
      <c r="E7" s="13"/>
      <c r="F7" s="13"/>
      <c r="G7" s="13"/>
      <c r="H7" s="13"/>
    </row>
    <row r="8" spans="2:8">
      <c r="B8" s="16" t="s">
        <v>5</v>
      </c>
      <c r="C8" s="13"/>
      <c r="D8" s="13"/>
      <c r="E8" s="13"/>
      <c r="F8" s="13"/>
      <c r="G8" s="13"/>
      <c r="H8" s="13"/>
    </row>
    <row r="9" spans="2:8">
      <c r="B9" s="16" t="s">
        <v>6</v>
      </c>
      <c r="C9" s="13"/>
      <c r="D9" s="13"/>
      <c r="E9" s="13"/>
      <c r="F9" s="13"/>
      <c r="G9" s="13"/>
      <c r="H9" s="13"/>
    </row>
    <row r="10" spans="2:8">
      <c r="B10" s="16" t="s">
        <v>7</v>
      </c>
      <c r="C10" s="13"/>
      <c r="D10" s="13"/>
      <c r="E10" s="13"/>
      <c r="F10" s="13"/>
      <c r="G10" s="13"/>
      <c r="H10" s="13"/>
    </row>
    <row r="11" spans="2:8">
      <c r="B11" s="16" t="s">
        <v>8</v>
      </c>
      <c r="C11" s="13"/>
      <c r="D11" s="13"/>
      <c r="E11" s="13"/>
      <c r="F11" s="13"/>
      <c r="G11" s="13"/>
      <c r="H11" s="13"/>
    </row>
    <row r="12" spans="2:8">
      <c r="B12" s="16" t="s">
        <v>9</v>
      </c>
      <c r="C12" s="13"/>
      <c r="D12" s="13"/>
      <c r="E12" s="13"/>
      <c r="F12" s="13"/>
      <c r="G12" s="13"/>
      <c r="H12" s="13"/>
    </row>
    <row r="13" spans="2:8">
      <c r="B13" s="16" t="s">
        <v>10</v>
      </c>
      <c r="C13" s="13"/>
      <c r="D13" s="13"/>
      <c r="E13" s="13"/>
      <c r="F13" s="13"/>
      <c r="G13" s="13"/>
      <c r="H13" s="13"/>
    </row>
    <row r="15" spans="2:8">
      <c r="B15" s="1" t="s">
        <v>11</v>
      </c>
    </row>
    <row r="16" spans="2:8">
      <c r="B16" s="16" t="s">
        <v>12</v>
      </c>
      <c r="C16" s="13"/>
      <c r="D16" s="13"/>
      <c r="E16" s="13"/>
      <c r="F16" s="13"/>
      <c r="G16" s="13"/>
      <c r="H16" s="13"/>
    </row>
    <row r="17" spans="2:8">
      <c r="B17" s="16" t="s">
        <v>13</v>
      </c>
      <c r="C17" s="13"/>
      <c r="D17" s="13"/>
      <c r="E17" s="13"/>
      <c r="F17" s="13"/>
      <c r="G17" s="13"/>
      <c r="H17" s="13"/>
    </row>
    <row r="18" spans="2:8">
      <c r="B18" s="16" t="s">
        <v>14</v>
      </c>
      <c r="C18" s="13"/>
      <c r="D18" s="13"/>
      <c r="E18" s="13"/>
      <c r="F18" s="13"/>
      <c r="G18" s="13"/>
      <c r="H18" s="13"/>
    </row>
    <row r="19" spans="2:8">
      <c r="B19" s="16" t="s">
        <v>15</v>
      </c>
      <c r="C19" s="13"/>
      <c r="D19" s="13"/>
      <c r="E19" s="13"/>
      <c r="F19" s="13"/>
      <c r="G19" s="13"/>
      <c r="H19" s="13"/>
    </row>
    <row r="20" spans="2:8">
      <c r="B20" s="16" t="s">
        <v>16</v>
      </c>
      <c r="C20" s="13"/>
      <c r="D20" s="13"/>
      <c r="E20" s="13"/>
      <c r="F20" s="13"/>
      <c r="G20" s="13"/>
      <c r="H20" s="13"/>
    </row>
    <row r="21" spans="2:8">
      <c r="B21" s="16" t="s">
        <v>17</v>
      </c>
      <c r="C21" s="13"/>
      <c r="D21" s="13"/>
      <c r="E21" s="13"/>
      <c r="F21" s="13"/>
      <c r="G21" s="13"/>
      <c r="H21" s="13"/>
    </row>
    <row r="22" spans="2:8">
      <c r="B22" s="16" t="s">
        <v>18</v>
      </c>
      <c r="C22" s="13"/>
      <c r="D22" s="13"/>
      <c r="E22" s="13"/>
      <c r="F22" s="13"/>
      <c r="G22" s="13"/>
      <c r="H22" s="13"/>
    </row>
    <row r="23" spans="2:8">
      <c r="B23" s="16" t="s">
        <v>19</v>
      </c>
      <c r="C23" s="13"/>
      <c r="D23" s="13"/>
      <c r="E23" s="13"/>
      <c r="F23" s="13"/>
      <c r="G23" s="13"/>
      <c r="H23" s="13"/>
    </row>
    <row r="25" spans="2:8">
      <c r="B25" s="1" t="s">
        <v>20</v>
      </c>
    </row>
    <row r="26" spans="2:8">
      <c r="B26" s="16" t="s">
        <v>21</v>
      </c>
      <c r="C26" s="13"/>
      <c r="D26" s="13"/>
      <c r="E26" s="13"/>
      <c r="F26" s="13"/>
      <c r="G26" s="13"/>
      <c r="H26" s="13"/>
    </row>
    <row r="27" spans="2:8">
      <c r="B27" s="16" t="s">
        <v>22</v>
      </c>
      <c r="C27" s="13"/>
      <c r="D27" s="13"/>
      <c r="E27" s="13"/>
      <c r="F27" s="13"/>
      <c r="G27" s="13"/>
      <c r="H27" s="13"/>
    </row>
    <row r="28" spans="2:8">
      <c r="B28" s="16" t="s">
        <v>23</v>
      </c>
      <c r="C28" s="13"/>
      <c r="D28" s="13"/>
      <c r="E28" s="13"/>
      <c r="F28" s="13"/>
      <c r="G28" s="13"/>
      <c r="H28" s="13"/>
    </row>
    <row r="29" spans="2:8">
      <c r="B29" s="16" t="s">
        <v>24</v>
      </c>
      <c r="C29" s="13"/>
      <c r="D29" s="13"/>
      <c r="E29" s="13"/>
      <c r="F29" s="13"/>
      <c r="G29" s="13"/>
      <c r="H29" s="13"/>
    </row>
    <row r="30" spans="2:8">
      <c r="B30" s="13" t="s">
        <v>25</v>
      </c>
      <c r="C30" s="13"/>
      <c r="D30" s="13"/>
      <c r="E30" s="13"/>
      <c r="F30" s="13"/>
      <c r="G30" s="13"/>
      <c r="H30" s="13"/>
    </row>
    <row r="31" spans="2:8">
      <c r="B31" s="16" t="s">
        <v>26</v>
      </c>
      <c r="C31" s="13"/>
      <c r="D31" s="13"/>
      <c r="E31" s="13"/>
      <c r="F31" s="13"/>
      <c r="G31" s="13"/>
      <c r="H31" s="13"/>
    </row>
    <row r="32" spans="2:8">
      <c r="B32" s="16" t="s">
        <v>27</v>
      </c>
      <c r="C32" s="13"/>
      <c r="D32" s="13"/>
      <c r="E32" s="13"/>
      <c r="F32" s="13"/>
      <c r="G32" s="13"/>
      <c r="H32" s="13"/>
    </row>
    <row r="33" spans="2:8">
      <c r="B33" s="16" t="s">
        <v>28</v>
      </c>
      <c r="C33" s="13"/>
      <c r="D33" s="13"/>
      <c r="E33" s="13"/>
      <c r="F33" s="13"/>
      <c r="G33" s="13"/>
      <c r="H33" s="13"/>
    </row>
    <row r="34" spans="2:8">
      <c r="B34" s="16" t="s">
        <v>29</v>
      </c>
      <c r="C34" s="13"/>
      <c r="D34" s="13"/>
      <c r="E34" s="13"/>
      <c r="F34" s="13"/>
      <c r="G34" s="13"/>
      <c r="H34" s="13"/>
    </row>
    <row r="35" spans="2:8">
      <c r="B35" s="10" t="s">
        <v>30</v>
      </c>
    </row>
    <row r="37" spans="2:8">
      <c r="B37" s="17" t="s">
        <v>31</v>
      </c>
      <c r="C37" s="13"/>
      <c r="D37" s="13"/>
      <c r="E37" s="13"/>
      <c r="F37" s="13"/>
      <c r="G37" s="13"/>
      <c r="H37" s="13"/>
    </row>
    <row r="38" spans="2:8">
      <c r="B38" s="16" t="s">
        <v>32</v>
      </c>
      <c r="C38" s="13"/>
      <c r="D38" s="13"/>
      <c r="E38" s="13"/>
      <c r="F38" s="13"/>
      <c r="G38" s="13"/>
      <c r="H38" s="13"/>
    </row>
    <row r="39" spans="2:8">
      <c r="B39" s="16" t="s">
        <v>33</v>
      </c>
      <c r="C39" s="13"/>
      <c r="D39" s="13"/>
      <c r="E39" s="13"/>
      <c r="F39" s="13"/>
      <c r="G39" s="13"/>
      <c r="H39" s="13"/>
    </row>
    <row r="40" spans="2:8">
      <c r="B40" s="16" t="s">
        <v>34</v>
      </c>
      <c r="C40" s="13"/>
      <c r="D40" s="13"/>
      <c r="E40" s="13"/>
      <c r="F40" s="13"/>
      <c r="G40" s="13"/>
      <c r="H40" s="13"/>
    </row>
    <row r="41" spans="2:8">
      <c r="B41" s="16" t="s">
        <v>35</v>
      </c>
      <c r="C41" s="13"/>
      <c r="D41" s="13"/>
      <c r="E41" s="13"/>
      <c r="F41" s="13"/>
      <c r="G41" s="13"/>
      <c r="H41" s="13"/>
    </row>
    <row r="42" spans="2:8">
      <c r="B42" s="16" t="s">
        <v>36</v>
      </c>
      <c r="C42" s="13"/>
      <c r="D42" s="13"/>
      <c r="E42" s="13"/>
      <c r="F42" s="13"/>
      <c r="G42" s="13"/>
      <c r="H42" s="13"/>
    </row>
    <row r="43" spans="2:8">
      <c r="B43" s="10" t="s">
        <v>37</v>
      </c>
    </row>
    <row r="45" spans="2:8">
      <c r="B45" s="13"/>
      <c r="C45" s="13"/>
      <c r="D45" s="13"/>
      <c r="E45" s="13"/>
      <c r="F45" s="13"/>
      <c r="G45" s="13"/>
      <c r="H45" s="13"/>
    </row>
    <row r="46" spans="2:8">
      <c r="B46" s="13"/>
      <c r="C46" s="13"/>
      <c r="D46" s="13"/>
      <c r="E46" s="13"/>
      <c r="F46" s="13"/>
      <c r="G46" s="13"/>
      <c r="H46" s="13"/>
    </row>
    <row r="47" spans="2:8">
      <c r="B47" s="13"/>
      <c r="C47" s="13"/>
      <c r="D47" s="13"/>
      <c r="E47" s="13"/>
      <c r="F47" s="13"/>
      <c r="G47" s="13"/>
      <c r="H47" s="13"/>
    </row>
    <row r="48" spans="2:8">
      <c r="B48" s="13"/>
      <c r="C48" s="13"/>
      <c r="D48" s="13"/>
      <c r="E48" s="13"/>
      <c r="F48" s="13"/>
      <c r="G48" s="13"/>
      <c r="H48" s="13"/>
    </row>
    <row r="49" spans="2:8">
      <c r="B49" s="13"/>
      <c r="C49" s="13"/>
      <c r="D49" s="13"/>
      <c r="E49" s="13"/>
      <c r="F49" s="13"/>
      <c r="G49" s="13"/>
      <c r="H49" s="13"/>
    </row>
    <row r="50" spans="2:8">
      <c r="B50" s="13"/>
      <c r="C50" s="13"/>
      <c r="D50" s="13"/>
      <c r="E50" s="13"/>
      <c r="F50" s="13"/>
      <c r="G50" s="13"/>
      <c r="H50" s="13"/>
    </row>
  </sheetData>
  <mergeCells count="34">
    <mergeCell ref="B45:H50"/>
    <mergeCell ref="B34:H34"/>
    <mergeCell ref="B38:H38"/>
    <mergeCell ref="B29:H29"/>
    <mergeCell ref="B10:H10"/>
    <mergeCell ref="B19:H19"/>
    <mergeCell ref="B37:H37"/>
    <mergeCell ref="B28:H28"/>
    <mergeCell ref="B2:H2"/>
    <mergeCell ref="B42:H42"/>
    <mergeCell ref="B11:H11"/>
    <mergeCell ref="B23:H23"/>
    <mergeCell ref="B8:H8"/>
    <mergeCell ref="B17:H17"/>
    <mergeCell ref="B13:H13"/>
    <mergeCell ref="B41:H41"/>
    <mergeCell ref="B4:H4"/>
    <mergeCell ref="B16:H16"/>
    <mergeCell ref="B7:H7"/>
    <mergeCell ref="B3:H3"/>
    <mergeCell ref="B31:H31"/>
    <mergeCell ref="B22:H22"/>
    <mergeCell ref="B18:H18"/>
    <mergeCell ref="B27:H27"/>
    <mergeCell ref="B21:H21"/>
    <mergeCell ref="B12:H12"/>
    <mergeCell ref="B39:H39"/>
    <mergeCell ref="B40:H40"/>
    <mergeCell ref="B9:H9"/>
    <mergeCell ref="B30:H30"/>
    <mergeCell ref="B33:H33"/>
    <mergeCell ref="B20:H20"/>
    <mergeCell ref="B32:H32"/>
    <mergeCell ref="B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workbookViewId="0">
      <pane xSplit="3" ySplit="1" topLeftCell="J75" activePane="bottomRight" state="frozen"/>
      <selection pane="bottomRight" activeCell="C10" sqref="C10"/>
      <selection pane="bottomLeft"/>
      <selection pane="topRight"/>
    </sheetView>
  </sheetViews>
  <sheetFormatPr defaultRowHeight="15"/>
  <cols>
    <col min="1" max="1" width="45.7109375" customWidth="1"/>
    <col min="2" max="2" width="6" customWidth="1"/>
    <col min="3" max="3" width="70" customWidth="1"/>
    <col min="4" max="4" width="14" customWidth="1"/>
    <col min="5" max="5" width="8" customWidth="1"/>
    <col min="6" max="6" width="18" customWidth="1"/>
    <col min="7" max="7" width="24" customWidth="1"/>
    <col min="8" max="8" width="14" customWidth="1"/>
    <col min="9" max="9" width="22" customWidth="1"/>
    <col min="10" max="10" width="14" customWidth="1"/>
    <col min="11" max="11" width="24" customWidth="1"/>
    <col min="12" max="12" width="22" customWidth="1"/>
    <col min="13" max="13" width="30" customWidth="1"/>
  </cols>
  <sheetData>
    <row r="1" spans="1:13" ht="36" customHeight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</row>
    <row r="2" spans="1:13">
      <c r="A2" s="3" t="s">
        <v>51</v>
      </c>
      <c r="B2" s="3"/>
      <c r="C2" s="3"/>
      <c r="D2" s="3" t="s">
        <v>52</v>
      </c>
      <c r="E2" s="3"/>
      <c r="F2" s="3"/>
      <c r="G2" s="3"/>
      <c r="H2" s="3"/>
      <c r="I2" s="3"/>
      <c r="J2" s="3"/>
      <c r="K2" s="3"/>
      <c r="L2" s="3"/>
      <c r="M2" s="3"/>
    </row>
    <row r="3" spans="1:13">
      <c r="A3" s="3" t="s">
        <v>51</v>
      </c>
      <c r="B3" s="3" t="s">
        <v>53</v>
      </c>
      <c r="C3" s="3" t="s">
        <v>54</v>
      </c>
      <c r="D3" s="3" t="s">
        <v>52</v>
      </c>
      <c r="E3" s="3"/>
      <c r="F3" s="3" t="s">
        <v>55</v>
      </c>
      <c r="G3" s="3" t="s">
        <v>56</v>
      </c>
      <c r="H3" s="3"/>
      <c r="I3" s="3"/>
      <c r="J3" s="3"/>
      <c r="K3" s="3"/>
      <c r="L3" s="3"/>
      <c r="M3" s="3"/>
    </row>
    <row r="4" spans="1:13">
      <c r="A4" s="3" t="s">
        <v>51</v>
      </c>
      <c r="B4" s="3" t="s">
        <v>57</v>
      </c>
      <c r="C4" s="3" t="s">
        <v>58</v>
      </c>
      <c r="D4" s="3" t="s">
        <v>52</v>
      </c>
      <c r="E4" s="3"/>
      <c r="F4" s="3" t="s">
        <v>55</v>
      </c>
      <c r="G4" s="3" t="s">
        <v>59</v>
      </c>
      <c r="H4" s="3"/>
      <c r="I4" s="3"/>
      <c r="J4" s="3"/>
      <c r="K4" s="3"/>
      <c r="L4" s="3"/>
      <c r="M4" s="3"/>
    </row>
    <row r="5" spans="1:13">
      <c r="A5" s="3" t="s">
        <v>51</v>
      </c>
      <c r="B5" s="3" t="s">
        <v>60</v>
      </c>
      <c r="C5" s="3" t="s">
        <v>61</v>
      </c>
      <c r="D5" s="3" t="s">
        <v>52</v>
      </c>
      <c r="E5" s="3"/>
      <c r="F5" s="3" t="s">
        <v>55</v>
      </c>
      <c r="G5" s="3"/>
      <c r="H5" s="3"/>
      <c r="I5" s="3"/>
      <c r="J5" s="3"/>
      <c r="K5" s="3"/>
      <c r="L5" s="3"/>
      <c r="M5" s="3"/>
    </row>
    <row r="6" spans="1:13">
      <c r="A6" s="3" t="s">
        <v>51</v>
      </c>
      <c r="B6" s="3" t="s">
        <v>62</v>
      </c>
      <c r="C6" s="3" t="s">
        <v>63</v>
      </c>
      <c r="D6" s="3" t="s">
        <v>52</v>
      </c>
      <c r="E6" s="3"/>
      <c r="F6" s="3"/>
      <c r="G6" s="3" t="s">
        <v>64</v>
      </c>
      <c r="H6" s="3"/>
      <c r="I6" s="3"/>
      <c r="J6" s="3"/>
      <c r="K6" s="3"/>
      <c r="L6" s="3"/>
      <c r="M6" s="3"/>
    </row>
    <row r="7" spans="1:13">
      <c r="A7" s="3" t="s">
        <v>51</v>
      </c>
      <c r="B7" s="3" t="s">
        <v>65</v>
      </c>
      <c r="C7" s="3" t="s">
        <v>66</v>
      </c>
      <c r="D7" s="3" t="s">
        <v>52</v>
      </c>
      <c r="E7" s="3" t="s">
        <v>67</v>
      </c>
      <c r="F7" s="3" t="s">
        <v>68</v>
      </c>
      <c r="G7" s="3" t="s">
        <v>69</v>
      </c>
      <c r="H7" s="3"/>
      <c r="I7" s="3"/>
      <c r="J7" s="3"/>
      <c r="K7" s="3"/>
      <c r="L7" s="3"/>
      <c r="M7" s="3"/>
    </row>
    <row r="8" spans="1:13">
      <c r="A8" s="3" t="s">
        <v>51</v>
      </c>
      <c r="B8" s="3" t="s">
        <v>70</v>
      </c>
      <c r="C8" s="3" t="s">
        <v>71</v>
      </c>
      <c r="D8" s="3" t="s">
        <v>52</v>
      </c>
      <c r="E8" s="3"/>
      <c r="F8" s="3" t="s">
        <v>55</v>
      </c>
      <c r="G8" s="3"/>
      <c r="H8" s="3"/>
      <c r="I8" s="3"/>
      <c r="J8" s="3"/>
      <c r="K8" s="3"/>
      <c r="L8" s="3"/>
      <c r="M8" s="3"/>
    </row>
    <row r="9" spans="1:13">
      <c r="A9" s="3" t="s">
        <v>51</v>
      </c>
      <c r="B9" s="3" t="s">
        <v>72</v>
      </c>
      <c r="C9" s="3" t="s">
        <v>73</v>
      </c>
      <c r="D9" s="3" t="s">
        <v>52</v>
      </c>
      <c r="E9" s="3" t="s">
        <v>67</v>
      </c>
      <c r="F9" s="3" t="s">
        <v>74</v>
      </c>
      <c r="G9" s="3" t="s">
        <v>75</v>
      </c>
      <c r="H9" s="3"/>
      <c r="I9" s="3"/>
      <c r="J9" s="3"/>
      <c r="K9" s="3"/>
      <c r="L9" s="3"/>
      <c r="M9" s="3"/>
    </row>
    <row r="10" spans="1:13">
      <c r="A10" s="3" t="s">
        <v>76</v>
      </c>
      <c r="B10" s="3" t="s">
        <v>77</v>
      </c>
      <c r="C10" s="3" t="s">
        <v>78</v>
      </c>
      <c r="D10" s="3" t="s">
        <v>52</v>
      </c>
      <c r="E10" s="3" t="s">
        <v>79</v>
      </c>
      <c r="F10" s="3" t="s">
        <v>80</v>
      </c>
      <c r="G10" s="3" t="s">
        <v>81</v>
      </c>
      <c r="H10" s="3"/>
      <c r="I10" s="3"/>
      <c r="J10" s="3"/>
      <c r="K10" s="3"/>
      <c r="L10" s="3"/>
      <c r="M10" s="3"/>
    </row>
    <row r="11" spans="1:13">
      <c r="A11" s="3" t="s">
        <v>76</v>
      </c>
      <c r="B11" s="3" t="s">
        <v>82</v>
      </c>
      <c r="C11" s="3" t="s">
        <v>83</v>
      </c>
      <c r="D11" s="3" t="s">
        <v>52</v>
      </c>
      <c r="E11" s="3" t="s">
        <v>79</v>
      </c>
      <c r="F11" s="3" t="s">
        <v>84</v>
      </c>
      <c r="G11" s="3" t="s">
        <v>85</v>
      </c>
      <c r="H11" s="3"/>
      <c r="I11" s="3"/>
      <c r="J11" s="3"/>
      <c r="K11" s="3"/>
      <c r="L11" s="3"/>
      <c r="M11" s="3"/>
    </row>
    <row r="12" spans="1:13">
      <c r="A12" s="3" t="s">
        <v>76</v>
      </c>
      <c r="B12" s="3" t="s">
        <v>86</v>
      </c>
      <c r="C12" s="3" t="s">
        <v>87</v>
      </c>
      <c r="D12" s="3" t="s">
        <v>52</v>
      </c>
      <c r="E12" s="3" t="s">
        <v>67</v>
      </c>
      <c r="F12" s="3" t="s">
        <v>88</v>
      </c>
      <c r="G12" s="3"/>
      <c r="H12" s="3"/>
      <c r="I12" s="3"/>
      <c r="J12" s="3"/>
      <c r="K12" s="3"/>
      <c r="L12" s="3"/>
      <c r="M12" s="3"/>
    </row>
    <row r="13" spans="1:13">
      <c r="A13" s="3" t="s">
        <v>76</v>
      </c>
      <c r="B13" s="3" t="s">
        <v>89</v>
      </c>
      <c r="C13" s="3" t="s">
        <v>90</v>
      </c>
      <c r="D13" s="3" t="s">
        <v>52</v>
      </c>
      <c r="E13" s="3" t="s">
        <v>79</v>
      </c>
      <c r="F13" s="3" t="s">
        <v>91</v>
      </c>
      <c r="G13" s="3" t="s">
        <v>92</v>
      </c>
      <c r="H13" s="3"/>
      <c r="I13" s="3"/>
      <c r="J13" s="3"/>
      <c r="K13" s="3"/>
      <c r="L13" s="3"/>
      <c r="M13" s="3"/>
    </row>
    <row r="14" spans="1:13">
      <c r="A14" s="3" t="s">
        <v>76</v>
      </c>
      <c r="B14" s="3" t="s">
        <v>93</v>
      </c>
      <c r="C14" s="3" t="s">
        <v>94</v>
      </c>
      <c r="D14" s="3" t="s">
        <v>52</v>
      </c>
      <c r="E14" s="3" t="s">
        <v>79</v>
      </c>
      <c r="F14" s="3" t="s">
        <v>95</v>
      </c>
      <c r="G14" s="3" t="s">
        <v>96</v>
      </c>
      <c r="H14" s="3"/>
      <c r="I14" s="3"/>
      <c r="J14" s="3"/>
      <c r="K14" s="3"/>
      <c r="L14" s="3"/>
      <c r="M14" s="3"/>
    </row>
    <row r="15" spans="1:13">
      <c r="A15" s="3" t="s">
        <v>76</v>
      </c>
      <c r="B15" s="3" t="s">
        <v>97</v>
      </c>
      <c r="C15" s="3" t="s">
        <v>98</v>
      </c>
      <c r="D15" s="3" t="s">
        <v>52</v>
      </c>
      <c r="E15" s="3" t="s">
        <v>79</v>
      </c>
      <c r="F15" s="3" t="s">
        <v>99</v>
      </c>
      <c r="G15" s="3" t="s">
        <v>100</v>
      </c>
      <c r="H15" s="3"/>
      <c r="I15" s="3"/>
      <c r="J15" s="3"/>
      <c r="K15" s="3"/>
      <c r="L15" s="3"/>
      <c r="M15" s="3"/>
    </row>
    <row r="16" spans="1:13">
      <c r="A16" s="3" t="s">
        <v>76</v>
      </c>
      <c r="B16" s="3" t="s">
        <v>101</v>
      </c>
      <c r="C16" s="3" t="s">
        <v>102</v>
      </c>
      <c r="D16" s="3" t="s">
        <v>52</v>
      </c>
      <c r="E16" s="3" t="s">
        <v>79</v>
      </c>
      <c r="F16" s="3" t="s">
        <v>103</v>
      </c>
      <c r="G16" s="3"/>
      <c r="H16" s="3"/>
      <c r="I16" s="3"/>
      <c r="J16" s="3"/>
      <c r="K16" s="3"/>
      <c r="L16" s="3"/>
      <c r="M16" s="3"/>
    </row>
    <row r="17" spans="1:13">
      <c r="A17" s="3" t="s">
        <v>76</v>
      </c>
      <c r="B17" s="3" t="s">
        <v>104</v>
      </c>
      <c r="C17" s="3" t="s">
        <v>105</v>
      </c>
      <c r="D17" s="3" t="s">
        <v>52</v>
      </c>
      <c r="E17" s="3" t="s">
        <v>79</v>
      </c>
      <c r="F17" s="3" t="s">
        <v>80</v>
      </c>
      <c r="G17" s="3" t="s">
        <v>106</v>
      </c>
      <c r="H17" s="3"/>
      <c r="I17" s="3"/>
      <c r="J17" s="3"/>
      <c r="K17" s="3"/>
      <c r="L17" s="3"/>
      <c r="M17" s="3"/>
    </row>
    <row r="18" spans="1:13">
      <c r="A18" s="3" t="s">
        <v>76</v>
      </c>
      <c r="B18" s="3" t="s">
        <v>107</v>
      </c>
      <c r="C18" s="3" t="s">
        <v>108</v>
      </c>
      <c r="D18" s="3" t="s">
        <v>52</v>
      </c>
      <c r="E18" s="3" t="s">
        <v>79</v>
      </c>
      <c r="F18" s="3" t="s">
        <v>109</v>
      </c>
      <c r="G18" s="3" t="s">
        <v>110</v>
      </c>
      <c r="H18" s="3"/>
      <c r="I18" s="3"/>
      <c r="J18" s="3"/>
      <c r="K18" s="3"/>
      <c r="L18" s="3"/>
      <c r="M18" s="3"/>
    </row>
    <row r="19" spans="1:13">
      <c r="A19" s="3" t="s">
        <v>76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3" t="s">
        <v>116</v>
      </c>
      <c r="H19" s="3"/>
      <c r="I19" s="3"/>
      <c r="J19" s="3"/>
      <c r="K19" s="3"/>
      <c r="L19" s="3"/>
      <c r="M19" s="3"/>
    </row>
    <row r="20" spans="1:13">
      <c r="A20" s="3" t="s">
        <v>76</v>
      </c>
      <c r="B20" s="3" t="s">
        <v>117</v>
      </c>
      <c r="C20" s="3" t="s">
        <v>118</v>
      </c>
      <c r="D20" s="3" t="s">
        <v>52</v>
      </c>
      <c r="E20" s="3" t="s">
        <v>79</v>
      </c>
      <c r="F20" s="3" t="s">
        <v>119</v>
      </c>
      <c r="G20" s="3" t="s">
        <v>120</v>
      </c>
      <c r="H20" s="3"/>
      <c r="I20" s="3"/>
      <c r="J20" s="3"/>
      <c r="K20" s="3"/>
      <c r="L20" s="3"/>
      <c r="M20" s="3"/>
    </row>
    <row r="21" spans="1:13">
      <c r="A21" s="3" t="s">
        <v>76</v>
      </c>
      <c r="B21" s="3" t="s">
        <v>121</v>
      </c>
      <c r="C21" s="3" t="s">
        <v>122</v>
      </c>
      <c r="D21" s="3" t="s">
        <v>52</v>
      </c>
      <c r="E21" s="3" t="s">
        <v>79</v>
      </c>
      <c r="F21" s="3" t="s">
        <v>123</v>
      </c>
      <c r="G21" s="3" t="s">
        <v>124</v>
      </c>
      <c r="H21" s="3"/>
      <c r="I21" s="3"/>
      <c r="J21" s="3"/>
      <c r="K21" s="3"/>
      <c r="L21" s="3"/>
      <c r="M21" s="3"/>
    </row>
    <row r="22" spans="1:13">
      <c r="A22" s="3" t="s">
        <v>76</v>
      </c>
      <c r="B22" s="3" t="s">
        <v>125</v>
      </c>
      <c r="C22" s="3" t="s">
        <v>126</v>
      </c>
      <c r="D22" s="3" t="s">
        <v>52</v>
      </c>
      <c r="E22" s="3" t="s">
        <v>79</v>
      </c>
      <c r="F22" s="3" t="s">
        <v>127</v>
      </c>
      <c r="G22" s="3" t="s">
        <v>128</v>
      </c>
      <c r="H22" s="3"/>
      <c r="I22" s="3"/>
      <c r="J22" s="3"/>
      <c r="K22" s="3"/>
      <c r="L22" s="3"/>
      <c r="M22" s="3"/>
    </row>
    <row r="23" spans="1:13">
      <c r="A23" s="3" t="s">
        <v>129</v>
      </c>
      <c r="B23" s="3" t="s">
        <v>130</v>
      </c>
      <c r="C23" s="3" t="s">
        <v>131</v>
      </c>
      <c r="D23" s="3" t="s">
        <v>113</v>
      </c>
      <c r="E23" s="3" t="s">
        <v>114</v>
      </c>
      <c r="F23" s="3" t="s">
        <v>132</v>
      </c>
      <c r="G23" s="3" t="s">
        <v>133</v>
      </c>
      <c r="H23" s="3"/>
      <c r="I23" s="3"/>
      <c r="J23" s="3"/>
      <c r="K23" s="3"/>
      <c r="L23" s="3"/>
      <c r="M23" s="3"/>
    </row>
    <row r="24" spans="1:13">
      <c r="A24" s="3" t="s">
        <v>129</v>
      </c>
      <c r="B24" s="3" t="s">
        <v>134</v>
      </c>
      <c r="C24" s="3" t="s">
        <v>135</v>
      </c>
      <c r="D24" s="3" t="s">
        <v>113</v>
      </c>
      <c r="E24" s="3" t="s">
        <v>114</v>
      </c>
      <c r="F24" s="3" t="s">
        <v>132</v>
      </c>
      <c r="G24" s="3" t="s">
        <v>133</v>
      </c>
      <c r="H24" s="3"/>
      <c r="I24" s="3"/>
      <c r="J24" s="3"/>
      <c r="K24" s="3"/>
      <c r="L24" s="3"/>
      <c r="M24" s="3"/>
    </row>
    <row r="25" spans="1:13">
      <c r="A25" s="3" t="s">
        <v>129</v>
      </c>
      <c r="B25" s="3" t="s">
        <v>136</v>
      </c>
      <c r="C25" s="3" t="s">
        <v>137</v>
      </c>
      <c r="D25" s="3" t="s">
        <v>113</v>
      </c>
      <c r="E25" s="3" t="s">
        <v>114</v>
      </c>
      <c r="F25" s="3" t="s">
        <v>132</v>
      </c>
      <c r="G25" s="3" t="s">
        <v>138</v>
      </c>
      <c r="H25" s="3"/>
      <c r="I25" s="3"/>
      <c r="J25" s="3"/>
      <c r="K25" s="3"/>
      <c r="L25" s="3"/>
      <c r="M25" s="3"/>
    </row>
    <row r="26" spans="1:13">
      <c r="A26" s="3" t="s">
        <v>129</v>
      </c>
      <c r="B26" s="3" t="s">
        <v>139</v>
      </c>
      <c r="C26" s="3" t="s">
        <v>140</v>
      </c>
      <c r="D26" s="3" t="s">
        <v>141</v>
      </c>
      <c r="E26" s="3" t="s">
        <v>114</v>
      </c>
      <c r="F26" s="3" t="s">
        <v>142</v>
      </c>
      <c r="G26" s="3" t="s">
        <v>143</v>
      </c>
      <c r="H26" s="3"/>
      <c r="I26" s="3"/>
      <c r="J26" s="3"/>
      <c r="K26" s="3"/>
      <c r="L26" s="3"/>
      <c r="M26" s="3"/>
    </row>
    <row r="27" spans="1:13">
      <c r="A27" s="3" t="s">
        <v>129</v>
      </c>
      <c r="B27" s="3" t="s">
        <v>144</v>
      </c>
      <c r="C27" s="3" t="s">
        <v>145</v>
      </c>
      <c r="D27" s="3" t="s">
        <v>141</v>
      </c>
      <c r="E27" s="3" t="s">
        <v>114</v>
      </c>
      <c r="F27" s="3" t="s">
        <v>142</v>
      </c>
      <c r="G27" s="3" t="s">
        <v>143</v>
      </c>
      <c r="H27" s="3"/>
      <c r="I27" s="3"/>
      <c r="J27" s="3"/>
      <c r="K27" s="3"/>
      <c r="L27" s="3"/>
      <c r="M27" s="3"/>
    </row>
    <row r="28" spans="1:13">
      <c r="A28" s="3" t="s">
        <v>129</v>
      </c>
      <c r="B28" s="3" t="s">
        <v>146</v>
      </c>
      <c r="C28" s="3" t="s">
        <v>147</v>
      </c>
      <c r="D28" s="3" t="s">
        <v>113</v>
      </c>
      <c r="E28" s="3" t="s">
        <v>114</v>
      </c>
      <c r="F28" s="3" t="s">
        <v>132</v>
      </c>
      <c r="G28" s="3" t="s">
        <v>148</v>
      </c>
      <c r="H28" s="3"/>
      <c r="I28" s="3"/>
      <c r="J28" s="3"/>
      <c r="K28" s="3"/>
      <c r="L28" s="3"/>
      <c r="M28" s="3"/>
    </row>
    <row r="29" spans="1:13">
      <c r="A29" s="3" t="s">
        <v>129</v>
      </c>
      <c r="B29" s="3" t="s">
        <v>149</v>
      </c>
      <c r="C29" s="3" t="s">
        <v>150</v>
      </c>
      <c r="D29" s="3" t="s">
        <v>113</v>
      </c>
      <c r="E29" s="3" t="s">
        <v>114</v>
      </c>
      <c r="F29" s="3" t="s">
        <v>151</v>
      </c>
      <c r="G29" s="3" t="s">
        <v>152</v>
      </c>
      <c r="H29" s="3"/>
      <c r="I29" s="3"/>
      <c r="J29" s="3"/>
      <c r="K29" s="3"/>
      <c r="L29" s="3"/>
      <c r="M29" s="3"/>
    </row>
    <row r="30" spans="1:13">
      <c r="A30" s="3" t="s">
        <v>129</v>
      </c>
      <c r="B30" s="3" t="s">
        <v>153</v>
      </c>
      <c r="C30" s="3" t="s">
        <v>154</v>
      </c>
      <c r="D30" s="3" t="s">
        <v>113</v>
      </c>
      <c r="E30" s="3" t="s">
        <v>114</v>
      </c>
      <c r="F30" s="3" t="s">
        <v>132</v>
      </c>
      <c r="G30" s="3" t="s">
        <v>155</v>
      </c>
      <c r="H30" s="3"/>
      <c r="I30" s="3"/>
      <c r="J30" s="3"/>
      <c r="K30" s="3"/>
      <c r="L30" s="3"/>
      <c r="M30" s="3"/>
    </row>
    <row r="31" spans="1:13">
      <c r="A31" s="3" t="s">
        <v>129</v>
      </c>
      <c r="B31" s="3" t="s">
        <v>156</v>
      </c>
      <c r="C31" s="3" t="s">
        <v>157</v>
      </c>
      <c r="D31" s="3" t="s">
        <v>113</v>
      </c>
      <c r="E31" s="3" t="s">
        <v>114</v>
      </c>
      <c r="F31" s="3"/>
      <c r="G31" s="3" t="s">
        <v>158</v>
      </c>
      <c r="H31" s="3"/>
      <c r="I31" s="3"/>
      <c r="J31" s="3"/>
      <c r="K31" s="3"/>
      <c r="L31" s="3"/>
      <c r="M31" s="3"/>
    </row>
    <row r="32" spans="1:13">
      <c r="A32" s="3" t="s">
        <v>129</v>
      </c>
      <c r="B32" s="3" t="s">
        <v>159</v>
      </c>
      <c r="C32" s="3" t="s">
        <v>160</v>
      </c>
      <c r="D32" s="3" t="s">
        <v>113</v>
      </c>
      <c r="E32" s="3" t="s">
        <v>114</v>
      </c>
      <c r="F32" s="3" t="s">
        <v>161</v>
      </c>
      <c r="G32" s="3" t="s">
        <v>162</v>
      </c>
      <c r="H32" s="3"/>
      <c r="I32" s="3"/>
      <c r="J32" s="3"/>
      <c r="K32" s="3"/>
      <c r="L32" s="3"/>
      <c r="M32" s="3"/>
    </row>
    <row r="33" spans="1:13">
      <c r="A33" s="3" t="s">
        <v>129</v>
      </c>
      <c r="B33" s="3" t="s">
        <v>163</v>
      </c>
      <c r="C33" s="3" t="s">
        <v>164</v>
      </c>
      <c r="D33" s="3" t="s">
        <v>165</v>
      </c>
      <c r="E33" s="3" t="s">
        <v>166</v>
      </c>
      <c r="F33" s="3" t="s">
        <v>167</v>
      </c>
      <c r="G33" s="3" t="s">
        <v>85</v>
      </c>
      <c r="H33" s="3"/>
      <c r="I33" s="3"/>
      <c r="J33" s="3"/>
      <c r="K33" s="3"/>
      <c r="L33" s="3"/>
      <c r="M33" s="3"/>
    </row>
    <row r="34" spans="1:13">
      <c r="A34" s="3" t="s">
        <v>168</v>
      </c>
      <c r="B34" s="3" t="s">
        <v>169</v>
      </c>
      <c r="C34" s="3" t="s">
        <v>170</v>
      </c>
      <c r="D34" s="3" t="s">
        <v>165</v>
      </c>
      <c r="E34" s="3" t="s">
        <v>171</v>
      </c>
      <c r="F34" s="3" t="s">
        <v>167</v>
      </c>
      <c r="G34" s="3" t="s">
        <v>172</v>
      </c>
      <c r="H34" s="3"/>
      <c r="I34" s="3"/>
      <c r="J34" s="3"/>
      <c r="K34" s="3"/>
      <c r="L34" s="3"/>
      <c r="M34" s="3"/>
    </row>
    <row r="35" spans="1:13">
      <c r="A35" s="3" t="s">
        <v>168</v>
      </c>
      <c r="B35" s="3" t="s">
        <v>173</v>
      </c>
      <c r="C35" s="3" t="s">
        <v>174</v>
      </c>
      <c r="D35" s="3" t="s">
        <v>165</v>
      </c>
      <c r="E35" s="3" t="s">
        <v>171</v>
      </c>
      <c r="F35" s="3" t="s">
        <v>175</v>
      </c>
      <c r="G35" s="3" t="s">
        <v>106</v>
      </c>
      <c r="H35" s="3"/>
      <c r="I35" s="3"/>
      <c r="J35" s="3"/>
      <c r="K35" s="3"/>
      <c r="L35" s="3"/>
      <c r="M35" s="3"/>
    </row>
    <row r="36" spans="1:13">
      <c r="A36" s="3" t="s">
        <v>168</v>
      </c>
      <c r="B36" s="3" t="s">
        <v>176</v>
      </c>
      <c r="C36" s="3" t="s">
        <v>177</v>
      </c>
      <c r="D36" s="3" t="s">
        <v>165</v>
      </c>
      <c r="E36" s="3" t="s">
        <v>171</v>
      </c>
      <c r="F36" s="3" t="s">
        <v>178</v>
      </c>
      <c r="G36" s="3" t="s">
        <v>179</v>
      </c>
      <c r="H36" s="3"/>
      <c r="I36" s="3"/>
      <c r="J36" s="3"/>
      <c r="K36" s="3"/>
      <c r="L36" s="3"/>
      <c r="M36" s="3"/>
    </row>
    <row r="37" spans="1:13">
      <c r="A37" s="3" t="s">
        <v>168</v>
      </c>
      <c r="B37" s="3" t="s">
        <v>180</v>
      </c>
      <c r="C37" s="3" t="s">
        <v>181</v>
      </c>
      <c r="D37" s="3" t="s">
        <v>182</v>
      </c>
      <c r="E37" s="3" t="s">
        <v>171</v>
      </c>
      <c r="F37" s="3" t="s">
        <v>183</v>
      </c>
      <c r="G37" s="3" t="s">
        <v>184</v>
      </c>
      <c r="H37" s="3"/>
      <c r="I37" s="3"/>
      <c r="J37" s="3"/>
      <c r="K37" s="3"/>
      <c r="L37" s="3"/>
      <c r="M37" s="3"/>
    </row>
    <row r="38" spans="1:13">
      <c r="A38" s="3" t="s">
        <v>168</v>
      </c>
      <c r="B38" s="3" t="s">
        <v>185</v>
      </c>
      <c r="C38" s="3" t="s">
        <v>186</v>
      </c>
      <c r="D38" s="3" t="s">
        <v>182</v>
      </c>
      <c r="E38" s="3" t="s">
        <v>171</v>
      </c>
      <c r="F38" s="3" t="s">
        <v>187</v>
      </c>
      <c r="G38" s="3"/>
      <c r="H38" s="3"/>
      <c r="I38" s="3"/>
      <c r="J38" s="3"/>
      <c r="K38" s="3"/>
      <c r="L38" s="3"/>
      <c r="M38" s="3"/>
    </row>
    <row r="39" spans="1:13">
      <c r="A39" s="3" t="s">
        <v>168</v>
      </c>
      <c r="B39" s="3" t="s">
        <v>188</v>
      </c>
      <c r="C39" s="3" t="s">
        <v>189</v>
      </c>
      <c r="D39" s="3" t="s">
        <v>182</v>
      </c>
      <c r="E39" s="3" t="s">
        <v>171</v>
      </c>
      <c r="F39" s="3" t="s">
        <v>178</v>
      </c>
      <c r="G39" s="3" t="s">
        <v>179</v>
      </c>
      <c r="H39" s="3"/>
      <c r="I39" s="3"/>
      <c r="J39" s="3"/>
      <c r="K39" s="3"/>
      <c r="L39" s="3"/>
      <c r="M39" s="3"/>
    </row>
    <row r="40" spans="1:13">
      <c r="A40" s="3" t="s">
        <v>168</v>
      </c>
      <c r="B40" s="3" t="s">
        <v>190</v>
      </c>
      <c r="C40" s="3" t="s">
        <v>191</v>
      </c>
      <c r="D40" s="3" t="s">
        <v>192</v>
      </c>
      <c r="E40" s="3" t="s">
        <v>193</v>
      </c>
      <c r="F40" s="3" t="s">
        <v>194</v>
      </c>
      <c r="G40" s="3" t="s">
        <v>195</v>
      </c>
      <c r="H40" s="3"/>
      <c r="I40" s="3"/>
      <c r="J40" s="3"/>
      <c r="K40" s="3"/>
      <c r="L40" s="3"/>
      <c r="M40" s="3"/>
    </row>
    <row r="41" spans="1:13">
      <c r="A41" s="3" t="s">
        <v>168</v>
      </c>
      <c r="B41" s="3" t="s">
        <v>196</v>
      </c>
      <c r="C41" s="3" t="s">
        <v>197</v>
      </c>
      <c r="D41" s="3" t="s">
        <v>192</v>
      </c>
      <c r="E41" s="3" t="s">
        <v>193</v>
      </c>
      <c r="F41" s="3" t="s">
        <v>194</v>
      </c>
      <c r="G41" s="3"/>
      <c r="H41" s="3"/>
      <c r="I41" s="3"/>
      <c r="J41" s="3"/>
      <c r="K41" s="3"/>
      <c r="L41" s="3"/>
      <c r="M41" s="3"/>
    </row>
    <row r="42" spans="1:13">
      <c r="A42" s="3" t="s">
        <v>168</v>
      </c>
      <c r="B42" s="3" t="s">
        <v>198</v>
      </c>
      <c r="C42" s="3" t="s">
        <v>199</v>
      </c>
      <c r="D42" s="3" t="s">
        <v>192</v>
      </c>
      <c r="E42" s="3" t="s">
        <v>193</v>
      </c>
      <c r="F42" s="3" t="s">
        <v>200</v>
      </c>
      <c r="G42" s="3" t="s">
        <v>201</v>
      </c>
      <c r="H42" s="3"/>
      <c r="I42" s="3"/>
      <c r="J42" s="3"/>
      <c r="K42" s="3"/>
      <c r="L42" s="3"/>
      <c r="M42" s="3"/>
    </row>
    <row r="43" spans="1:13">
      <c r="A43" s="3" t="s">
        <v>168</v>
      </c>
      <c r="B43" s="3" t="s">
        <v>202</v>
      </c>
      <c r="C43" s="3" t="s">
        <v>203</v>
      </c>
      <c r="D43" s="3" t="s">
        <v>204</v>
      </c>
      <c r="E43" s="3" t="s">
        <v>205</v>
      </c>
      <c r="F43" s="3" t="s">
        <v>206</v>
      </c>
      <c r="G43" s="3" t="s">
        <v>143</v>
      </c>
      <c r="H43" s="3"/>
      <c r="I43" s="3"/>
      <c r="J43" s="3"/>
      <c r="K43" s="3"/>
      <c r="L43" s="3"/>
      <c r="M43" s="3"/>
    </row>
    <row r="44" spans="1:13">
      <c r="A44" s="3" t="s">
        <v>168</v>
      </c>
      <c r="B44" s="3" t="s">
        <v>207</v>
      </c>
      <c r="C44" s="3" t="s">
        <v>208</v>
      </c>
      <c r="D44" s="3" t="s">
        <v>204</v>
      </c>
      <c r="E44" s="3" t="s">
        <v>205</v>
      </c>
      <c r="F44" s="3" t="s">
        <v>209</v>
      </c>
      <c r="G44" s="3"/>
      <c r="H44" s="3"/>
      <c r="I44" s="3"/>
      <c r="J44" s="3"/>
      <c r="K44" s="3"/>
      <c r="L44" s="3"/>
      <c r="M44" s="3"/>
    </row>
    <row r="45" spans="1:13">
      <c r="A45" s="3" t="s">
        <v>168</v>
      </c>
      <c r="B45" s="3" t="s">
        <v>210</v>
      </c>
      <c r="C45" s="3" t="s">
        <v>211</v>
      </c>
      <c r="D45" s="3" t="s">
        <v>212</v>
      </c>
      <c r="E45" s="3" t="s">
        <v>193</v>
      </c>
      <c r="F45" s="3" t="s">
        <v>213</v>
      </c>
      <c r="G45" s="3" t="s">
        <v>214</v>
      </c>
      <c r="H45" s="3"/>
      <c r="I45" s="3"/>
      <c r="J45" s="3"/>
      <c r="K45" s="3"/>
      <c r="L45" s="3"/>
      <c r="M45" s="3"/>
    </row>
    <row r="46" spans="1:13">
      <c r="A46" s="3" t="s">
        <v>168</v>
      </c>
      <c r="B46" s="3" t="s">
        <v>215</v>
      </c>
      <c r="C46" s="3" t="s">
        <v>216</v>
      </c>
      <c r="D46" s="3" t="s">
        <v>212</v>
      </c>
      <c r="E46" s="3" t="s">
        <v>193</v>
      </c>
      <c r="F46" s="3" t="s">
        <v>213</v>
      </c>
      <c r="G46" s="3"/>
      <c r="H46" s="3"/>
      <c r="I46" s="3"/>
      <c r="J46" s="3"/>
      <c r="K46" s="3"/>
      <c r="L46" s="3"/>
      <c r="M46" s="3"/>
    </row>
    <row r="47" spans="1:13">
      <c r="A47" s="3" t="s">
        <v>168</v>
      </c>
      <c r="B47" s="3" t="s">
        <v>217</v>
      </c>
      <c r="C47" s="3" t="s">
        <v>218</v>
      </c>
      <c r="D47" s="3" t="s">
        <v>52</v>
      </c>
      <c r="E47" s="3" t="s">
        <v>171</v>
      </c>
      <c r="F47" s="3" t="s">
        <v>132</v>
      </c>
      <c r="G47" s="3" t="s">
        <v>219</v>
      </c>
      <c r="H47" s="3"/>
      <c r="I47" s="3"/>
      <c r="J47" s="3"/>
      <c r="K47" s="3"/>
      <c r="L47" s="3"/>
      <c r="M47" s="3"/>
    </row>
    <row r="48" spans="1:13">
      <c r="A48" s="3" t="s">
        <v>168</v>
      </c>
      <c r="B48" s="3" t="s">
        <v>220</v>
      </c>
      <c r="C48" s="3" t="s">
        <v>221</v>
      </c>
      <c r="D48" s="3" t="s">
        <v>52</v>
      </c>
      <c r="E48" s="3" t="s">
        <v>171</v>
      </c>
      <c r="F48" s="3" t="s">
        <v>132</v>
      </c>
      <c r="G48" s="3" t="s">
        <v>222</v>
      </c>
      <c r="H48" s="3"/>
      <c r="I48" s="3"/>
      <c r="J48" s="3"/>
      <c r="K48" s="3"/>
      <c r="L48" s="3"/>
      <c r="M48" s="3"/>
    </row>
    <row r="49" spans="1:13">
      <c r="A49" s="3" t="s">
        <v>168</v>
      </c>
      <c r="B49" s="3" t="s">
        <v>223</v>
      </c>
      <c r="C49" s="3" t="s">
        <v>224</v>
      </c>
      <c r="D49" s="3" t="s">
        <v>52</v>
      </c>
      <c r="E49" s="3" t="s">
        <v>171</v>
      </c>
      <c r="F49" s="3" t="s">
        <v>132</v>
      </c>
      <c r="G49" s="3" t="s">
        <v>222</v>
      </c>
      <c r="H49" s="3"/>
      <c r="I49" s="3"/>
      <c r="J49" s="3"/>
      <c r="K49" s="3"/>
      <c r="L49" s="3"/>
      <c r="M49" s="3"/>
    </row>
    <row r="50" spans="1:13">
      <c r="A50" s="3" t="s">
        <v>168</v>
      </c>
      <c r="B50" s="3" t="s">
        <v>225</v>
      </c>
      <c r="C50" s="3" t="s">
        <v>226</v>
      </c>
      <c r="D50" s="3" t="s">
        <v>52</v>
      </c>
      <c r="E50" s="3" t="s">
        <v>171</v>
      </c>
      <c r="F50" s="3" t="s">
        <v>227</v>
      </c>
      <c r="G50" s="3" t="s">
        <v>106</v>
      </c>
      <c r="H50" s="3"/>
      <c r="I50" s="3"/>
      <c r="J50" s="3"/>
      <c r="K50" s="3"/>
      <c r="L50" s="3"/>
      <c r="M50" s="3"/>
    </row>
    <row r="51" spans="1:13">
      <c r="A51" s="3" t="s">
        <v>168</v>
      </c>
      <c r="B51" s="3" t="s">
        <v>228</v>
      </c>
      <c r="C51" s="3" t="s">
        <v>229</v>
      </c>
      <c r="D51" s="3" t="s">
        <v>52</v>
      </c>
      <c r="E51" s="3" t="s">
        <v>230</v>
      </c>
      <c r="F51" s="3" t="s">
        <v>231</v>
      </c>
      <c r="G51" s="3" t="s">
        <v>232</v>
      </c>
      <c r="H51" s="3"/>
      <c r="I51" s="3"/>
      <c r="J51" s="3"/>
      <c r="K51" s="3"/>
      <c r="L51" s="3"/>
      <c r="M51" s="3"/>
    </row>
    <row r="52" spans="1:13">
      <c r="A52" s="3" t="s">
        <v>233</v>
      </c>
      <c r="B52" s="3" t="s">
        <v>234</v>
      </c>
      <c r="C52" s="3" t="s">
        <v>235</v>
      </c>
      <c r="D52" s="3" t="s">
        <v>52</v>
      </c>
      <c r="E52" s="3" t="s">
        <v>230</v>
      </c>
      <c r="F52" s="3" t="s">
        <v>236</v>
      </c>
      <c r="G52" s="3" t="s">
        <v>162</v>
      </c>
      <c r="H52" s="3"/>
      <c r="I52" s="3"/>
      <c r="J52" s="3"/>
      <c r="K52" s="3"/>
      <c r="L52" s="3"/>
      <c r="M52" s="3"/>
    </row>
    <row r="53" spans="1:13">
      <c r="A53" s="3" t="s">
        <v>233</v>
      </c>
      <c r="B53" s="3" t="s">
        <v>237</v>
      </c>
      <c r="C53" s="3" t="s">
        <v>238</v>
      </c>
      <c r="D53" s="3" t="s">
        <v>52</v>
      </c>
      <c r="E53" s="3" t="s">
        <v>230</v>
      </c>
      <c r="F53" s="3" t="s">
        <v>239</v>
      </c>
      <c r="G53" s="3"/>
      <c r="H53" s="3"/>
      <c r="I53" s="3"/>
      <c r="J53" s="3"/>
      <c r="K53" s="3"/>
      <c r="L53" s="3"/>
      <c r="M53" s="3"/>
    </row>
    <row r="54" spans="1:13">
      <c r="A54" s="3" t="s">
        <v>233</v>
      </c>
      <c r="B54" s="3" t="s">
        <v>240</v>
      </c>
      <c r="C54" s="3" t="s">
        <v>241</v>
      </c>
      <c r="D54" s="3" t="s">
        <v>52</v>
      </c>
      <c r="E54" s="3" t="s">
        <v>230</v>
      </c>
      <c r="F54" s="3" t="s">
        <v>242</v>
      </c>
      <c r="G54" s="3"/>
      <c r="H54" s="3"/>
      <c r="I54" s="3"/>
      <c r="J54" s="3"/>
      <c r="K54" s="3"/>
      <c r="L54" s="3"/>
      <c r="M54" s="3"/>
    </row>
    <row r="55" spans="1:13">
      <c r="A55" s="3" t="s">
        <v>233</v>
      </c>
      <c r="B55" s="3" t="s">
        <v>243</v>
      </c>
      <c r="C55" s="3" t="s">
        <v>244</v>
      </c>
      <c r="D55" s="3" t="s">
        <v>52</v>
      </c>
      <c r="E55" s="3" t="s">
        <v>230</v>
      </c>
      <c r="F55" s="3" t="s">
        <v>245</v>
      </c>
      <c r="G55" s="3" t="s">
        <v>201</v>
      </c>
      <c r="H55" s="3"/>
      <c r="I55" s="3"/>
      <c r="J55" s="3"/>
      <c r="K55" s="3"/>
      <c r="L55" s="3"/>
      <c r="M55" s="3"/>
    </row>
    <row r="56" spans="1:13">
      <c r="A56" s="3" t="s">
        <v>233</v>
      </c>
      <c r="B56" s="3" t="s">
        <v>246</v>
      </c>
      <c r="C56" s="3" t="s">
        <v>247</v>
      </c>
      <c r="D56" s="3" t="s">
        <v>52</v>
      </c>
      <c r="E56" s="3" t="s">
        <v>230</v>
      </c>
      <c r="F56" s="3" t="s">
        <v>245</v>
      </c>
      <c r="G56" s="3" t="s">
        <v>201</v>
      </c>
      <c r="H56" s="3"/>
      <c r="I56" s="3"/>
      <c r="J56" s="3"/>
      <c r="K56" s="3"/>
      <c r="L56" s="3"/>
      <c r="M56" s="3"/>
    </row>
    <row r="57" spans="1:13">
      <c r="A57" s="3" t="s">
        <v>233</v>
      </c>
      <c r="B57" s="3" t="s">
        <v>70</v>
      </c>
      <c r="C57" s="3" t="s">
        <v>248</v>
      </c>
      <c r="D57" s="3" t="s">
        <v>52</v>
      </c>
      <c r="E57" s="3" t="s">
        <v>230</v>
      </c>
      <c r="F57" s="3" t="s">
        <v>245</v>
      </c>
      <c r="G57" s="3"/>
      <c r="H57" s="3"/>
      <c r="I57" s="3"/>
      <c r="J57" s="3"/>
      <c r="K57" s="3"/>
      <c r="L57" s="3"/>
      <c r="M57" s="3"/>
    </row>
    <row r="58" spans="1:13">
      <c r="A58" s="3" t="s">
        <v>233</v>
      </c>
      <c r="B58" s="3" t="s">
        <v>72</v>
      </c>
      <c r="C58" s="3" t="s">
        <v>249</v>
      </c>
      <c r="D58" s="3" t="s">
        <v>52</v>
      </c>
      <c r="E58" s="3" t="s">
        <v>230</v>
      </c>
      <c r="F58" s="3" t="s">
        <v>245</v>
      </c>
      <c r="G58" s="3"/>
      <c r="H58" s="3"/>
      <c r="I58" s="3"/>
      <c r="J58" s="3"/>
      <c r="K58" s="3"/>
      <c r="L58" s="3"/>
      <c r="M58" s="3"/>
    </row>
    <row r="59" spans="1:13">
      <c r="A59" s="3" t="s">
        <v>233</v>
      </c>
      <c r="B59" s="3" t="s">
        <v>250</v>
      </c>
      <c r="C59" s="3" t="s">
        <v>251</v>
      </c>
      <c r="D59" s="3" t="s">
        <v>52</v>
      </c>
      <c r="E59" s="3" t="s">
        <v>230</v>
      </c>
      <c r="F59" s="3" t="s">
        <v>245</v>
      </c>
      <c r="G59" s="3"/>
      <c r="H59" s="3"/>
      <c r="I59" s="3"/>
      <c r="J59" s="3"/>
      <c r="K59" s="3"/>
      <c r="L59" s="3"/>
      <c r="M59" s="3"/>
    </row>
    <row r="60" spans="1:13">
      <c r="A60" s="3" t="s">
        <v>233</v>
      </c>
      <c r="B60" s="3" t="s">
        <v>252</v>
      </c>
      <c r="C60" s="3" t="s">
        <v>253</v>
      </c>
      <c r="D60" s="3" t="s">
        <v>52</v>
      </c>
      <c r="E60" s="3" t="s">
        <v>230</v>
      </c>
      <c r="F60" s="3" t="s">
        <v>245</v>
      </c>
      <c r="G60" s="3" t="s">
        <v>254</v>
      </c>
      <c r="H60" s="3"/>
      <c r="I60" s="3"/>
      <c r="J60" s="3"/>
      <c r="K60" s="3"/>
      <c r="L60" s="3"/>
      <c r="M60" s="3"/>
    </row>
    <row r="61" spans="1:13">
      <c r="A61" s="3" t="s">
        <v>233</v>
      </c>
      <c r="B61" s="3" t="s">
        <v>255</v>
      </c>
      <c r="C61" s="3" t="s">
        <v>256</v>
      </c>
      <c r="D61" s="3" t="s">
        <v>52</v>
      </c>
      <c r="E61" s="3" t="s">
        <v>230</v>
      </c>
      <c r="F61" s="3" t="s">
        <v>245</v>
      </c>
      <c r="G61" s="3" t="s">
        <v>254</v>
      </c>
      <c r="H61" s="3"/>
      <c r="I61" s="3"/>
      <c r="J61" s="3"/>
      <c r="K61" s="3"/>
      <c r="L61" s="3"/>
      <c r="M61" s="3"/>
    </row>
    <row r="62" spans="1:13">
      <c r="A62" s="3" t="s">
        <v>233</v>
      </c>
      <c r="B62" s="3" t="s">
        <v>257</v>
      </c>
      <c r="C62" s="3" t="s">
        <v>258</v>
      </c>
      <c r="D62" s="3" t="s">
        <v>52</v>
      </c>
      <c r="E62" s="3" t="s">
        <v>230</v>
      </c>
      <c r="F62" s="3" t="s">
        <v>245</v>
      </c>
      <c r="G62" s="3"/>
      <c r="H62" s="3"/>
      <c r="I62" s="3"/>
      <c r="J62" s="3"/>
      <c r="K62" s="3"/>
      <c r="L62" s="3"/>
      <c r="M62" s="3"/>
    </row>
    <row r="63" spans="1:13">
      <c r="A63" s="3" t="s">
        <v>233</v>
      </c>
      <c r="B63" s="3" t="s">
        <v>259</v>
      </c>
      <c r="C63" s="3" t="s">
        <v>260</v>
      </c>
      <c r="D63" s="3" t="s">
        <v>52</v>
      </c>
      <c r="E63" s="3" t="s">
        <v>230</v>
      </c>
      <c r="F63" s="3" t="s">
        <v>261</v>
      </c>
      <c r="G63" s="3" t="s">
        <v>179</v>
      </c>
      <c r="H63" s="3"/>
      <c r="I63" s="3"/>
      <c r="J63" s="3"/>
      <c r="K63" s="3"/>
      <c r="L63" s="3"/>
      <c r="M63" s="3"/>
    </row>
    <row r="64" spans="1:13">
      <c r="A64" s="3" t="s">
        <v>233</v>
      </c>
      <c r="B64" s="3" t="s">
        <v>262</v>
      </c>
      <c r="C64" s="3" t="s">
        <v>263</v>
      </c>
      <c r="D64" s="3" t="s">
        <v>52</v>
      </c>
      <c r="E64" s="3" t="s">
        <v>230</v>
      </c>
      <c r="F64" s="3" t="s">
        <v>264</v>
      </c>
      <c r="G64" s="3" t="s">
        <v>265</v>
      </c>
      <c r="H64" s="3"/>
      <c r="I64" s="3"/>
      <c r="J64" s="3"/>
      <c r="K64" s="3"/>
      <c r="L64" s="3"/>
      <c r="M64" s="3"/>
    </row>
    <row r="65" spans="1:13">
      <c r="A65" s="3" t="s">
        <v>233</v>
      </c>
      <c r="B65" s="3" t="s">
        <v>266</v>
      </c>
      <c r="C65" s="3" t="s">
        <v>267</v>
      </c>
      <c r="D65" s="3" t="s">
        <v>52</v>
      </c>
      <c r="E65" s="3" t="s">
        <v>230</v>
      </c>
      <c r="F65" s="3" t="s">
        <v>245</v>
      </c>
      <c r="G65" s="3" t="s">
        <v>201</v>
      </c>
      <c r="H65" s="3"/>
      <c r="I65" s="3"/>
      <c r="J65" s="3"/>
      <c r="K65" s="3"/>
      <c r="L65" s="3"/>
      <c r="M65" s="3"/>
    </row>
    <row r="66" spans="1:13">
      <c r="A66" s="3" t="s">
        <v>233</v>
      </c>
      <c r="B66" s="3" t="s">
        <v>268</v>
      </c>
      <c r="C66" s="3" t="s">
        <v>269</v>
      </c>
      <c r="D66" s="3" t="s">
        <v>52</v>
      </c>
      <c r="E66" s="3" t="s">
        <v>230</v>
      </c>
      <c r="F66" s="3" t="s">
        <v>270</v>
      </c>
      <c r="G66" s="3" t="s">
        <v>96</v>
      </c>
      <c r="H66" s="3"/>
      <c r="I66" s="3"/>
      <c r="J66" s="3"/>
      <c r="K66" s="3"/>
      <c r="L66" s="3"/>
      <c r="M66" s="3"/>
    </row>
    <row r="67" spans="1:13">
      <c r="A67" s="3" t="s">
        <v>233</v>
      </c>
      <c r="B67" s="3" t="s">
        <v>271</v>
      </c>
      <c r="C67" s="3" t="s">
        <v>272</v>
      </c>
      <c r="D67" s="3" t="s">
        <v>52</v>
      </c>
      <c r="E67" s="3" t="s">
        <v>230</v>
      </c>
      <c r="F67" s="3" t="s">
        <v>227</v>
      </c>
      <c r="G67" s="3" t="s">
        <v>162</v>
      </c>
      <c r="H67" s="3"/>
      <c r="I67" s="3"/>
      <c r="J67" s="3"/>
      <c r="K67" s="3"/>
      <c r="L67" s="3"/>
      <c r="M67" s="3"/>
    </row>
    <row r="68" spans="1:13">
      <c r="A68" s="3" t="s">
        <v>273</v>
      </c>
      <c r="B68" s="3" t="s">
        <v>274</v>
      </c>
      <c r="C68" s="3" t="s">
        <v>275</v>
      </c>
      <c r="D68" s="3" t="s">
        <v>52</v>
      </c>
      <c r="E68" s="3" t="s">
        <v>276</v>
      </c>
      <c r="F68" s="3" t="s">
        <v>277</v>
      </c>
      <c r="G68" s="3" t="s">
        <v>59</v>
      </c>
      <c r="H68" s="3"/>
      <c r="I68" s="3"/>
      <c r="J68" s="3"/>
      <c r="K68" s="3"/>
      <c r="L68" s="3"/>
      <c r="M68" s="3"/>
    </row>
    <row r="69" spans="1:13">
      <c r="A69" s="3" t="s">
        <v>273</v>
      </c>
      <c r="B69" s="3" t="s">
        <v>278</v>
      </c>
      <c r="C69" s="3" t="s">
        <v>279</v>
      </c>
      <c r="D69" s="3" t="s">
        <v>52</v>
      </c>
      <c r="E69" s="3" t="s">
        <v>276</v>
      </c>
      <c r="F69" s="3" t="s">
        <v>280</v>
      </c>
      <c r="G69" s="3"/>
      <c r="H69" s="3"/>
      <c r="I69" s="3"/>
      <c r="J69" s="3"/>
      <c r="K69" s="3"/>
      <c r="L69" s="3"/>
      <c r="M69" s="3"/>
    </row>
    <row r="70" spans="1:13">
      <c r="A70" s="3" t="s">
        <v>273</v>
      </c>
      <c r="B70" s="3" t="s">
        <v>281</v>
      </c>
      <c r="C70" s="3" t="s">
        <v>282</v>
      </c>
      <c r="D70" s="3" t="s">
        <v>52</v>
      </c>
      <c r="E70" s="3" t="s">
        <v>276</v>
      </c>
      <c r="F70" s="3" t="s">
        <v>283</v>
      </c>
      <c r="G70" s="3" t="s">
        <v>254</v>
      </c>
      <c r="H70" s="3"/>
      <c r="I70" s="3"/>
      <c r="J70" s="3"/>
      <c r="K70" s="3"/>
      <c r="L70" s="3"/>
      <c r="M70" s="3"/>
    </row>
    <row r="71" spans="1:13">
      <c r="A71" s="3" t="s">
        <v>273</v>
      </c>
      <c r="B71" s="3" t="s">
        <v>284</v>
      </c>
      <c r="C71" s="3" t="s">
        <v>285</v>
      </c>
      <c r="D71" s="3" t="s">
        <v>52</v>
      </c>
      <c r="E71" s="3" t="s">
        <v>276</v>
      </c>
      <c r="F71" s="3" t="s">
        <v>286</v>
      </c>
      <c r="G71" s="3" t="s">
        <v>287</v>
      </c>
      <c r="H71" s="3"/>
      <c r="I71" s="3"/>
      <c r="J71" s="3"/>
      <c r="K71" s="3"/>
      <c r="L71" s="3"/>
      <c r="M71" s="3"/>
    </row>
    <row r="72" spans="1:13">
      <c r="A72" s="3" t="s">
        <v>273</v>
      </c>
      <c r="B72" s="3" t="s">
        <v>288</v>
      </c>
      <c r="C72" s="3" t="s">
        <v>289</v>
      </c>
      <c r="D72" s="3" t="s">
        <v>52</v>
      </c>
      <c r="E72" s="3" t="s">
        <v>290</v>
      </c>
      <c r="F72" s="3" t="s">
        <v>291</v>
      </c>
      <c r="G72" s="3" t="s">
        <v>292</v>
      </c>
      <c r="H72" s="3"/>
      <c r="I72" s="3"/>
      <c r="J72" s="3"/>
      <c r="K72" s="3"/>
      <c r="L72" s="3"/>
      <c r="M72" s="3"/>
    </row>
    <row r="73" spans="1:13">
      <c r="A73" s="3" t="s">
        <v>273</v>
      </c>
      <c r="B73" s="3" t="s">
        <v>293</v>
      </c>
      <c r="C73" s="3" t="s">
        <v>294</v>
      </c>
      <c r="D73" s="3" t="s">
        <v>52</v>
      </c>
      <c r="E73" s="3" t="s">
        <v>276</v>
      </c>
      <c r="F73" s="3" t="s">
        <v>295</v>
      </c>
      <c r="G73" s="3" t="s">
        <v>254</v>
      </c>
      <c r="H73" s="3"/>
      <c r="I73" s="3"/>
      <c r="J73" s="3"/>
      <c r="K73" s="3"/>
      <c r="L73" s="3"/>
      <c r="M73" s="3"/>
    </row>
    <row r="74" spans="1:13">
      <c r="A74" s="3" t="s">
        <v>273</v>
      </c>
      <c r="B74" s="3" t="s">
        <v>296</v>
      </c>
      <c r="C74" s="3" t="s">
        <v>297</v>
      </c>
      <c r="D74" s="3" t="s">
        <v>52</v>
      </c>
      <c r="E74" s="3" t="s">
        <v>290</v>
      </c>
      <c r="F74" s="3" t="s">
        <v>283</v>
      </c>
      <c r="G74" s="3" t="s">
        <v>298</v>
      </c>
      <c r="H74" s="3"/>
      <c r="I74" s="3"/>
      <c r="J74" s="3"/>
      <c r="K74" s="3"/>
      <c r="L74" s="3"/>
      <c r="M74" s="3"/>
    </row>
    <row r="75" spans="1:13">
      <c r="A75" s="3" t="s">
        <v>299</v>
      </c>
      <c r="B75" s="3" t="s">
        <v>300</v>
      </c>
      <c r="C75" s="3" t="s">
        <v>301</v>
      </c>
      <c r="D75" s="3" t="s">
        <v>52</v>
      </c>
      <c r="E75" s="3" t="s">
        <v>302</v>
      </c>
      <c r="F75" s="3" t="s">
        <v>303</v>
      </c>
      <c r="G75" s="3" t="s">
        <v>201</v>
      </c>
      <c r="H75" s="3"/>
      <c r="I75" s="3"/>
      <c r="J75" s="3"/>
      <c r="K75" s="3"/>
      <c r="L75" s="3"/>
      <c r="M75" s="3"/>
    </row>
    <row r="76" spans="1:13">
      <c r="A76" s="3" t="s">
        <v>299</v>
      </c>
      <c r="B76" s="3" t="s">
        <v>304</v>
      </c>
      <c r="C76" s="3" t="s">
        <v>305</v>
      </c>
      <c r="D76" s="3" t="s">
        <v>52</v>
      </c>
      <c r="E76" s="3" t="s">
        <v>302</v>
      </c>
      <c r="F76" s="3" t="s">
        <v>306</v>
      </c>
      <c r="G76" s="3" t="s">
        <v>307</v>
      </c>
      <c r="H76" s="3"/>
      <c r="I76" s="3"/>
      <c r="J76" s="3"/>
      <c r="K76" s="3"/>
      <c r="L76" s="3"/>
      <c r="M76" s="3"/>
    </row>
    <row r="77" spans="1:13">
      <c r="A77" s="3" t="s">
        <v>299</v>
      </c>
      <c r="B77" s="3" t="s">
        <v>308</v>
      </c>
      <c r="C77" s="3" t="s">
        <v>309</v>
      </c>
      <c r="D77" s="3" t="s">
        <v>52</v>
      </c>
      <c r="E77" s="3" t="s">
        <v>302</v>
      </c>
      <c r="F77" s="3"/>
      <c r="G77" s="3" t="s">
        <v>310</v>
      </c>
      <c r="H77" s="3"/>
      <c r="I77" s="3"/>
      <c r="J77" s="3"/>
      <c r="K77" s="3"/>
      <c r="L77" s="3"/>
      <c r="M77" s="3"/>
    </row>
    <row r="78" spans="1:13">
      <c r="A78" s="3" t="s">
        <v>299</v>
      </c>
      <c r="B78" s="3" t="s">
        <v>311</v>
      </c>
      <c r="C78" s="3" t="s">
        <v>312</v>
      </c>
      <c r="D78" s="3" t="s">
        <v>52</v>
      </c>
      <c r="E78" s="3" t="s">
        <v>302</v>
      </c>
      <c r="F78" s="3" t="s">
        <v>227</v>
      </c>
      <c r="G78" s="3" t="s">
        <v>313</v>
      </c>
      <c r="H78" s="3"/>
      <c r="I78" s="3"/>
      <c r="J78" s="3"/>
      <c r="K78" s="3"/>
      <c r="L78" s="3"/>
      <c r="M78" s="3"/>
    </row>
    <row r="79" spans="1:13">
      <c r="A79" s="3" t="s">
        <v>299</v>
      </c>
      <c r="B79" s="3" t="s">
        <v>314</v>
      </c>
      <c r="C79" s="3" t="s">
        <v>315</v>
      </c>
      <c r="D79" s="3" t="s">
        <v>52</v>
      </c>
      <c r="E79" s="3" t="s">
        <v>302</v>
      </c>
      <c r="F79" s="3"/>
      <c r="G79" s="3" t="s">
        <v>310</v>
      </c>
      <c r="H79" s="3"/>
      <c r="I79" s="3"/>
      <c r="J79" s="3"/>
      <c r="K79" s="3"/>
      <c r="L79" s="3"/>
      <c r="M79" s="3"/>
    </row>
    <row r="80" spans="1:13">
      <c r="A80" s="3" t="s">
        <v>299</v>
      </c>
      <c r="B80" s="3" t="s">
        <v>316</v>
      </c>
      <c r="C80" s="3" t="s">
        <v>317</v>
      </c>
      <c r="D80" s="3" t="s">
        <v>52</v>
      </c>
      <c r="E80" s="3" t="s">
        <v>302</v>
      </c>
      <c r="F80" s="3"/>
      <c r="G80" s="3" t="s">
        <v>318</v>
      </c>
      <c r="H80" s="3"/>
      <c r="I80" s="3"/>
      <c r="J80" s="3"/>
      <c r="K80" s="3"/>
      <c r="L80" s="3"/>
      <c r="M80" s="3"/>
    </row>
    <row r="81" spans="1:13">
      <c r="A81" s="3" t="s">
        <v>299</v>
      </c>
      <c r="B81" s="3" t="s">
        <v>319</v>
      </c>
      <c r="C81" s="3" t="s">
        <v>320</v>
      </c>
      <c r="D81" s="3" t="s">
        <v>52</v>
      </c>
      <c r="E81" s="3" t="s">
        <v>302</v>
      </c>
      <c r="F81" s="3"/>
      <c r="G81" s="3" t="s">
        <v>201</v>
      </c>
      <c r="H81" s="3"/>
      <c r="I81" s="3"/>
      <c r="J81" s="3"/>
      <c r="K81" s="3"/>
      <c r="L81" s="3"/>
      <c r="M81" s="3"/>
    </row>
    <row r="82" spans="1:13">
      <c r="A82" s="3" t="s">
        <v>299</v>
      </c>
      <c r="B82" s="3" t="s">
        <v>321</v>
      </c>
      <c r="C82" s="3" t="s">
        <v>322</v>
      </c>
      <c r="D82" s="3" t="s">
        <v>52</v>
      </c>
      <c r="E82" s="3" t="s">
        <v>302</v>
      </c>
      <c r="F82" s="3"/>
      <c r="G82" s="3" t="s">
        <v>323</v>
      </c>
      <c r="H82" s="3"/>
      <c r="I82" s="3"/>
      <c r="J82" s="3"/>
      <c r="K82" s="3"/>
      <c r="L82" s="3"/>
      <c r="M82" s="3"/>
    </row>
    <row r="83" spans="1:13">
      <c r="A83" s="3" t="s">
        <v>299</v>
      </c>
      <c r="B83" s="3" t="s">
        <v>324</v>
      </c>
      <c r="C83" s="3" t="s">
        <v>325</v>
      </c>
      <c r="D83" s="3" t="s">
        <v>52</v>
      </c>
      <c r="E83" s="3" t="s">
        <v>302</v>
      </c>
      <c r="F83" s="3"/>
      <c r="G83" s="3" t="s">
        <v>201</v>
      </c>
      <c r="H83" s="3"/>
      <c r="I83" s="3"/>
      <c r="J83" s="3"/>
      <c r="K83" s="3"/>
      <c r="L83" s="3"/>
      <c r="M83" s="3"/>
    </row>
    <row r="84" spans="1:13">
      <c r="A84" s="3" t="s">
        <v>299</v>
      </c>
      <c r="B84" s="3" t="s">
        <v>326</v>
      </c>
      <c r="C84" s="3" t="s">
        <v>327</v>
      </c>
      <c r="D84" s="3" t="s">
        <v>52</v>
      </c>
      <c r="E84" s="3" t="s">
        <v>302</v>
      </c>
      <c r="F84" s="3"/>
      <c r="G84" s="3" t="s">
        <v>201</v>
      </c>
      <c r="H84" s="3"/>
      <c r="I84" s="3"/>
      <c r="J84" s="3"/>
      <c r="K84" s="3"/>
      <c r="L84" s="3"/>
      <c r="M84" s="3"/>
    </row>
    <row r="85" spans="1:13">
      <c r="A85" s="3" t="s">
        <v>299</v>
      </c>
      <c r="B85" s="3" t="s">
        <v>328</v>
      </c>
      <c r="C85" s="3" t="s">
        <v>329</v>
      </c>
      <c r="D85" s="3" t="s">
        <v>52</v>
      </c>
      <c r="E85" s="3" t="s">
        <v>302</v>
      </c>
      <c r="F85" s="3"/>
      <c r="G85" s="3" t="s">
        <v>201</v>
      </c>
      <c r="H85" s="3"/>
      <c r="I85" s="3"/>
      <c r="J85" s="3"/>
      <c r="K85" s="3"/>
      <c r="L85" s="3"/>
      <c r="M85" s="3"/>
    </row>
    <row r="86" spans="1:13">
      <c r="A86" s="3" t="s">
        <v>330</v>
      </c>
      <c r="B86" s="3" t="s">
        <v>331</v>
      </c>
      <c r="C86" s="3" t="s">
        <v>332</v>
      </c>
      <c r="D86" s="3" t="s">
        <v>52</v>
      </c>
      <c r="E86" s="3" t="s">
        <v>290</v>
      </c>
      <c r="F86" s="3" t="s">
        <v>333</v>
      </c>
      <c r="G86" s="3" t="s">
        <v>334</v>
      </c>
      <c r="H86" s="3"/>
      <c r="I86" s="3"/>
      <c r="J86" s="3"/>
      <c r="K86" s="3"/>
      <c r="L86" s="3"/>
      <c r="M86" s="3"/>
    </row>
    <row r="87" spans="1:13">
      <c r="A87" s="3" t="s">
        <v>330</v>
      </c>
      <c r="B87" s="3" t="s">
        <v>335</v>
      </c>
      <c r="C87" s="3" t="s">
        <v>336</v>
      </c>
      <c r="D87" s="3" t="s">
        <v>52</v>
      </c>
      <c r="E87" s="3" t="s">
        <v>290</v>
      </c>
      <c r="F87" s="3" t="s">
        <v>337</v>
      </c>
      <c r="G87" s="3" t="s">
        <v>338</v>
      </c>
      <c r="H87" s="3"/>
      <c r="I87" s="3"/>
      <c r="J87" s="3"/>
      <c r="K87" s="3"/>
      <c r="L87" s="3"/>
      <c r="M87" s="3"/>
    </row>
    <row r="88" spans="1:13">
      <c r="A88" s="3" t="s">
        <v>330</v>
      </c>
      <c r="B88" s="3" t="s">
        <v>339</v>
      </c>
      <c r="C88" s="3" t="s">
        <v>340</v>
      </c>
      <c r="D88" s="3" t="s">
        <v>52</v>
      </c>
      <c r="E88" s="3" t="s">
        <v>290</v>
      </c>
      <c r="F88" s="3" t="s">
        <v>341</v>
      </c>
      <c r="G88" s="3" t="s">
        <v>342</v>
      </c>
      <c r="H88" s="3"/>
      <c r="I88" s="3"/>
      <c r="J88" s="3"/>
      <c r="K88" s="3"/>
      <c r="L88" s="3"/>
      <c r="M88" s="3"/>
    </row>
    <row r="89" spans="1:13">
      <c r="A89" s="3" t="s">
        <v>330</v>
      </c>
      <c r="B89" s="3" t="s">
        <v>343</v>
      </c>
      <c r="C89" s="3" t="s">
        <v>344</v>
      </c>
      <c r="D89" s="3" t="s">
        <v>52</v>
      </c>
      <c r="E89" s="3" t="s">
        <v>290</v>
      </c>
      <c r="F89" s="3" t="s">
        <v>280</v>
      </c>
      <c r="G89" s="3" t="s">
        <v>69</v>
      </c>
      <c r="H89" s="3"/>
      <c r="I89" s="3"/>
      <c r="J89" s="3"/>
      <c r="K89" s="3"/>
      <c r="L89" s="3"/>
      <c r="M89" s="3"/>
    </row>
    <row r="90" spans="1:13">
      <c r="A90" s="3" t="s">
        <v>330</v>
      </c>
      <c r="B90" s="3" t="s">
        <v>65</v>
      </c>
      <c r="C90" s="3" t="s">
        <v>345</v>
      </c>
      <c r="D90" s="3" t="s">
        <v>52</v>
      </c>
      <c r="E90" s="3" t="s">
        <v>290</v>
      </c>
      <c r="F90" s="3" t="s">
        <v>346</v>
      </c>
      <c r="G90" s="3" t="s">
        <v>69</v>
      </c>
      <c r="H90" s="3"/>
      <c r="I90" s="3"/>
      <c r="J90" s="3"/>
      <c r="K90" s="3"/>
      <c r="L90" s="3"/>
      <c r="M90" s="3"/>
    </row>
    <row r="91" spans="1:13">
      <c r="A91" s="3" t="s">
        <v>330</v>
      </c>
      <c r="B91" s="3" t="s">
        <v>347</v>
      </c>
      <c r="C91" s="3" t="s">
        <v>348</v>
      </c>
      <c r="D91" s="3" t="s">
        <v>52</v>
      </c>
      <c r="E91" s="3" t="s">
        <v>290</v>
      </c>
      <c r="F91" s="3" t="s">
        <v>349</v>
      </c>
      <c r="G91" s="3" t="s">
        <v>292</v>
      </c>
      <c r="H91" s="3"/>
      <c r="I91" s="3"/>
      <c r="J91" s="3"/>
      <c r="K91" s="3"/>
      <c r="L91" s="3"/>
      <c r="M91" s="3"/>
    </row>
  </sheetData>
  <autoFilter ref="A1:M1" xr:uid="{00000000-0009-0000-0000-000001000000}"/>
  <dataValidations count="2">
    <dataValidation type="list" allowBlank="1" sqref="H2:H91" xr:uid="{00000000-0002-0000-0100-000000000000}">
      <formula1>"Pendiente,En curso,Cumplido,No aplica,Bloqueado"</formula1>
    </dataValidation>
    <dataValidation type="list" allowBlank="1" sqref="D2:D91" xr:uid="{00000000-0002-0000-0100-000001000000}">
      <formula1>"Todas,Cat 1,Cat 2,Cat 3,Cat 4,Cat 5,Cat 6,Cat 1 / Cat 5,Cat 2 / Cat 3,Cat 4 / Cat 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4"/>
  <sheetViews>
    <sheetView showGridLines="0" workbookViewId="0"/>
  </sheetViews>
  <sheetFormatPr defaultRowHeight="15"/>
  <cols>
    <col min="2" max="2" width="4" customWidth="1"/>
    <col min="3" max="3" width="50" customWidth="1"/>
    <col min="4" max="4" width="10" customWidth="1"/>
    <col min="5" max="8" width="12" customWidth="1"/>
    <col min="9" max="9" width="14" customWidth="1"/>
    <col min="10" max="10" width="16" customWidth="1"/>
  </cols>
  <sheetData>
    <row r="2" spans="2:10">
      <c r="B2" s="12" t="s">
        <v>350</v>
      </c>
      <c r="C2" s="13"/>
      <c r="D2" s="13"/>
      <c r="E2" s="13"/>
      <c r="F2" s="13"/>
      <c r="G2" s="13"/>
      <c r="H2" s="13"/>
      <c r="I2" s="13"/>
    </row>
    <row r="4" spans="2:10">
      <c r="B4" s="2" t="s">
        <v>351</v>
      </c>
      <c r="C4" s="2" t="s">
        <v>38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</row>
    <row r="5" spans="2:10">
      <c r="B5" s="4">
        <v>1</v>
      </c>
      <c r="C5" s="5" t="s">
        <v>51</v>
      </c>
      <c r="D5" s="4">
        <f>COUNTIF('Lista de Chequeo'!A:A,C5)</f>
        <v>8</v>
      </c>
      <c r="E5" s="4">
        <f>COUNTIFS('Lista de Chequeo'!A:A,C5,'Lista de Chequeo'!H:H,"Cumplido")</f>
        <v>0</v>
      </c>
      <c r="F5" s="4">
        <f>COUNTIFS('Lista de Chequeo'!A:A,C5,'Lista de Chequeo'!H:H,"En curso")</f>
        <v>0</v>
      </c>
      <c r="G5" s="4">
        <f>COUNTIFS('Lista de Chequeo'!A:A,C5,'Lista de Chequeo'!H:H,"Pendiente")</f>
        <v>0</v>
      </c>
      <c r="H5" s="4">
        <f>COUNTIFS('Lista de Chequeo'!A:A,C5,'Lista de Chequeo'!H:H,"No aplica")</f>
        <v>0</v>
      </c>
      <c r="I5" s="4">
        <f>COUNTIFS('Lista de Chequeo'!A:A,C5,'Lista de Chequeo'!H:H,"Bloqueado")</f>
        <v>0</v>
      </c>
      <c r="J5" s="6">
        <f>IFERROR((E5+H5)/(D5-H5+H5),0)</f>
        <v>0</v>
      </c>
    </row>
    <row r="6" spans="2:10">
      <c r="B6" s="4">
        <v>2</v>
      </c>
      <c r="C6" s="5" t="s">
        <v>76</v>
      </c>
      <c r="D6" s="4">
        <f>COUNTIF('Lista de Chequeo'!A:A,C6)</f>
        <v>13</v>
      </c>
      <c r="E6" s="4">
        <f>COUNTIFS('Lista de Chequeo'!A:A,C6,'Lista de Chequeo'!H:H,"Cumplido")</f>
        <v>0</v>
      </c>
      <c r="F6" s="4">
        <f>COUNTIFS('Lista de Chequeo'!A:A,C6,'Lista de Chequeo'!H:H,"En curso")</f>
        <v>0</v>
      </c>
      <c r="G6" s="4">
        <f>COUNTIFS('Lista de Chequeo'!A:A,C6,'Lista de Chequeo'!H:H,"Pendiente")</f>
        <v>0</v>
      </c>
      <c r="H6" s="4">
        <f>COUNTIFS('Lista de Chequeo'!A:A,C6,'Lista de Chequeo'!H:H,"No aplica")</f>
        <v>0</v>
      </c>
      <c r="I6" s="4">
        <f>COUNTIFS('Lista de Chequeo'!A:A,C6,'Lista de Chequeo'!H:H,"Bloqueado")</f>
        <v>0</v>
      </c>
      <c r="J6" s="6">
        <f>IFERROR((E6+H6)/(D6-H6+H6),0)</f>
        <v>0</v>
      </c>
    </row>
    <row r="7" spans="2:10">
      <c r="B7" s="4">
        <v>3</v>
      </c>
      <c r="C7" s="5" t="s">
        <v>129</v>
      </c>
      <c r="D7" s="4">
        <f>COUNTIF('Lista de Chequeo'!A:A,C7)</f>
        <v>11</v>
      </c>
      <c r="E7" s="4">
        <f>COUNTIFS('Lista de Chequeo'!A:A,C7,'Lista de Chequeo'!H:H,"Cumplido")</f>
        <v>0</v>
      </c>
      <c r="F7" s="4">
        <f>COUNTIFS('Lista de Chequeo'!A:A,C7,'Lista de Chequeo'!H:H,"En curso")</f>
        <v>0</v>
      </c>
      <c r="G7" s="4">
        <f>COUNTIFS('Lista de Chequeo'!A:A,C7,'Lista de Chequeo'!H:H,"Pendiente")</f>
        <v>0</v>
      </c>
      <c r="H7" s="4">
        <f>COUNTIFS('Lista de Chequeo'!A:A,C7,'Lista de Chequeo'!H:H,"No aplica")</f>
        <v>0</v>
      </c>
      <c r="I7" s="4">
        <f>COUNTIFS('Lista de Chequeo'!A:A,C7,'Lista de Chequeo'!H:H,"Bloqueado")</f>
        <v>0</v>
      </c>
      <c r="J7" s="6">
        <f>IFERROR((E7+H7)/(D7-H7+H7),0)</f>
        <v>0</v>
      </c>
    </row>
    <row r="8" spans="2:10">
      <c r="B8" s="4">
        <v>4</v>
      </c>
      <c r="C8" s="5" t="s">
        <v>168</v>
      </c>
      <c r="D8" s="4">
        <f>COUNTIF('Lista de Chequeo'!A:A,C8)</f>
        <v>18</v>
      </c>
      <c r="E8" s="4">
        <f>COUNTIFS('Lista de Chequeo'!A:A,C8,'Lista de Chequeo'!H:H,"Cumplido")</f>
        <v>0</v>
      </c>
      <c r="F8" s="4">
        <f>COUNTIFS('Lista de Chequeo'!A:A,C8,'Lista de Chequeo'!H:H,"En curso")</f>
        <v>0</v>
      </c>
      <c r="G8" s="4">
        <f>COUNTIFS('Lista de Chequeo'!A:A,C8,'Lista de Chequeo'!H:H,"Pendiente")</f>
        <v>0</v>
      </c>
      <c r="H8" s="4">
        <f>COUNTIFS('Lista de Chequeo'!A:A,C8,'Lista de Chequeo'!H:H,"No aplica")</f>
        <v>0</v>
      </c>
      <c r="I8" s="4">
        <f>COUNTIFS('Lista de Chequeo'!A:A,C8,'Lista de Chequeo'!H:H,"Bloqueado")</f>
        <v>0</v>
      </c>
      <c r="J8" s="6">
        <f>IFERROR((E8+H8)/(D8-H8+H8),0)</f>
        <v>0</v>
      </c>
    </row>
    <row r="9" spans="2:10">
      <c r="B9" s="4">
        <v>5</v>
      </c>
      <c r="C9" s="5" t="s">
        <v>233</v>
      </c>
      <c r="D9" s="4">
        <f>COUNTIF('Lista de Chequeo'!A:A,C9)</f>
        <v>16</v>
      </c>
      <c r="E9" s="4">
        <f>COUNTIFS('Lista de Chequeo'!A:A,C9,'Lista de Chequeo'!H:H,"Cumplido")</f>
        <v>0</v>
      </c>
      <c r="F9" s="4">
        <f>COUNTIFS('Lista de Chequeo'!A:A,C9,'Lista de Chequeo'!H:H,"En curso")</f>
        <v>0</v>
      </c>
      <c r="G9" s="4">
        <f>COUNTIFS('Lista de Chequeo'!A:A,C9,'Lista de Chequeo'!H:H,"Pendiente")</f>
        <v>0</v>
      </c>
      <c r="H9" s="4">
        <f>COUNTIFS('Lista de Chequeo'!A:A,C9,'Lista de Chequeo'!H:H,"No aplica")</f>
        <v>0</v>
      </c>
      <c r="I9" s="4">
        <f>COUNTIFS('Lista de Chequeo'!A:A,C9,'Lista de Chequeo'!H:H,"Bloqueado")</f>
        <v>0</v>
      </c>
      <c r="J9" s="6">
        <f>IFERROR((E9+H9)/(D9-H9+H9),0)</f>
        <v>0</v>
      </c>
    </row>
    <row r="10" spans="2:10">
      <c r="B10" s="4">
        <v>6</v>
      </c>
      <c r="C10" s="5" t="s">
        <v>273</v>
      </c>
      <c r="D10" s="4">
        <f>COUNTIF('Lista de Chequeo'!A:A,C10)</f>
        <v>7</v>
      </c>
      <c r="E10" s="4">
        <f>COUNTIFS('Lista de Chequeo'!A:A,C10,'Lista de Chequeo'!H:H,"Cumplido")</f>
        <v>0</v>
      </c>
      <c r="F10" s="4">
        <f>COUNTIFS('Lista de Chequeo'!A:A,C10,'Lista de Chequeo'!H:H,"En curso")</f>
        <v>0</v>
      </c>
      <c r="G10" s="4">
        <f>COUNTIFS('Lista de Chequeo'!A:A,C10,'Lista de Chequeo'!H:H,"Pendiente")</f>
        <v>0</v>
      </c>
      <c r="H10" s="4">
        <f>COUNTIFS('Lista de Chequeo'!A:A,C10,'Lista de Chequeo'!H:H,"No aplica")</f>
        <v>0</v>
      </c>
      <c r="I10" s="4">
        <f>COUNTIFS('Lista de Chequeo'!A:A,C10,'Lista de Chequeo'!H:H,"Bloqueado")</f>
        <v>0</v>
      </c>
      <c r="J10" s="6">
        <f>IFERROR((E10+H10)/(D10-H10+H10),0)</f>
        <v>0</v>
      </c>
    </row>
    <row r="11" spans="2:10">
      <c r="B11" s="4">
        <v>7</v>
      </c>
      <c r="C11" s="5" t="s">
        <v>299</v>
      </c>
      <c r="D11" s="4">
        <f>COUNTIF('Lista de Chequeo'!A:A,C11)</f>
        <v>11</v>
      </c>
      <c r="E11" s="4">
        <f>COUNTIFS('Lista de Chequeo'!A:A,C11,'Lista de Chequeo'!H:H,"Cumplido")</f>
        <v>0</v>
      </c>
      <c r="F11" s="4">
        <f>COUNTIFS('Lista de Chequeo'!A:A,C11,'Lista de Chequeo'!H:H,"En curso")</f>
        <v>0</v>
      </c>
      <c r="G11" s="4">
        <f>COUNTIFS('Lista de Chequeo'!A:A,C11,'Lista de Chequeo'!H:H,"Pendiente")</f>
        <v>0</v>
      </c>
      <c r="H11" s="4">
        <f>COUNTIFS('Lista de Chequeo'!A:A,C11,'Lista de Chequeo'!H:H,"No aplica")</f>
        <v>0</v>
      </c>
      <c r="I11" s="4">
        <f>COUNTIFS('Lista de Chequeo'!A:A,C11,'Lista de Chequeo'!H:H,"Bloqueado")</f>
        <v>0</v>
      </c>
      <c r="J11" s="6">
        <f>IFERROR((E11+H11)/(D11-H11+H11),0)</f>
        <v>0</v>
      </c>
    </row>
    <row r="12" spans="2:10">
      <c r="B12" s="4">
        <v>8</v>
      </c>
      <c r="C12" s="5" t="s">
        <v>330</v>
      </c>
      <c r="D12" s="4">
        <f>COUNTIF('Lista de Chequeo'!A:A,C12)</f>
        <v>6</v>
      </c>
      <c r="E12" s="4">
        <f>COUNTIFS('Lista de Chequeo'!A:A,C12,'Lista de Chequeo'!H:H,"Cumplido")</f>
        <v>0</v>
      </c>
      <c r="F12" s="4">
        <f>COUNTIFS('Lista de Chequeo'!A:A,C12,'Lista de Chequeo'!H:H,"En curso")</f>
        <v>0</v>
      </c>
      <c r="G12" s="4">
        <f>COUNTIFS('Lista de Chequeo'!A:A,C12,'Lista de Chequeo'!H:H,"Pendiente")</f>
        <v>0</v>
      </c>
      <c r="H12" s="4">
        <f>COUNTIFS('Lista de Chequeo'!A:A,C12,'Lista de Chequeo'!H:H,"No aplica")</f>
        <v>0</v>
      </c>
      <c r="I12" s="4">
        <f>COUNTIFS('Lista de Chequeo'!A:A,C12,'Lista de Chequeo'!H:H,"Bloqueado")</f>
        <v>0</v>
      </c>
      <c r="J12" s="6">
        <f>IFERROR((E12+H12)/(D12-H12+H12),0)</f>
        <v>0</v>
      </c>
    </row>
    <row r="13" spans="2:10">
      <c r="B13" s="7"/>
      <c r="C13" s="8" t="s">
        <v>359</v>
      </c>
      <c r="D13" s="7">
        <f>COUNTA('Lista de Chequeo'!B2:B91)</f>
        <v>89</v>
      </c>
      <c r="E13" s="7">
        <f>COUNTIF('Lista de Chequeo'!H:H,"Cumplido")</f>
        <v>0</v>
      </c>
      <c r="F13" s="7">
        <f>COUNTIF('Lista de Chequeo'!H:H,"En curso")</f>
        <v>0</v>
      </c>
      <c r="G13" s="7">
        <f>COUNTIF('Lista de Chequeo'!H:H,"Pendiente")</f>
        <v>0</v>
      </c>
      <c r="H13" s="7">
        <f>COUNTIF('Lista de Chequeo'!H:H,"No aplica")</f>
        <v>0</v>
      </c>
      <c r="I13" s="7">
        <f>COUNTIF('Lista de Chequeo'!H:H,"Bloqueado")</f>
        <v>0</v>
      </c>
      <c r="J13" s="9">
        <f>IFERROR(E13/D13,0)</f>
        <v>0</v>
      </c>
    </row>
    <row r="16" spans="2:10">
      <c r="B16" s="17" t="s">
        <v>360</v>
      </c>
      <c r="C16" s="13"/>
      <c r="D16" s="13"/>
      <c r="E16" s="13"/>
      <c r="F16" s="13"/>
      <c r="G16" s="13"/>
      <c r="H16" s="13"/>
      <c r="I16" s="13"/>
      <c r="J16" s="13"/>
    </row>
    <row r="18" spans="2:8">
      <c r="B18" s="2" t="s">
        <v>361</v>
      </c>
      <c r="C18" s="2" t="s">
        <v>362</v>
      </c>
      <c r="D18" s="2" t="s">
        <v>363</v>
      </c>
      <c r="E18" s="2" t="s">
        <v>364</v>
      </c>
      <c r="F18" s="2" t="s">
        <v>365</v>
      </c>
      <c r="G18" s="2" t="s">
        <v>45</v>
      </c>
      <c r="H18" s="2" t="s">
        <v>366</v>
      </c>
    </row>
    <row r="19" spans="2:8">
      <c r="B19" s="5" t="s">
        <v>367</v>
      </c>
      <c r="C19" s="4" t="s">
        <v>368</v>
      </c>
      <c r="D19" s="4" t="s">
        <v>369</v>
      </c>
      <c r="E19" s="4" t="s">
        <v>370</v>
      </c>
      <c r="F19" s="4"/>
      <c r="G19" s="4" t="str">
        <f>IF(F19="","",IF(F19&lt;-0.1,"Rojo",IF(F19&lt;0,"Amarillo","Verde")))</f>
        <v/>
      </c>
      <c r="H19" s="5" t="s">
        <v>371</v>
      </c>
    </row>
    <row r="20" spans="2:8">
      <c r="B20" s="5" t="s">
        <v>372</v>
      </c>
      <c r="C20" s="4" t="s">
        <v>373</v>
      </c>
      <c r="D20" s="4" t="s">
        <v>374</v>
      </c>
      <c r="E20" s="4" t="s">
        <v>375</v>
      </c>
      <c r="F20" s="4"/>
      <c r="G20" s="4" t="str">
        <f>IF(F20="","",IF(F20&lt;0.85,"Rojo",IF(F20&lt;0.95,"Amarillo","Verde")))</f>
        <v/>
      </c>
      <c r="H20" s="5" t="s">
        <v>376</v>
      </c>
    </row>
    <row r="21" spans="2:8">
      <c r="B21" s="5" t="s">
        <v>377</v>
      </c>
      <c r="C21" s="4" t="s">
        <v>378</v>
      </c>
      <c r="D21" s="4" t="s">
        <v>379</v>
      </c>
      <c r="E21" s="4" t="s">
        <v>380</v>
      </c>
      <c r="F21" s="4"/>
      <c r="G21" s="4" t="str">
        <f>IF(F21="","",IF(F21&gt;3,"Rojo",IF(F21&gt;2,"Amarillo","Verde")))</f>
        <v/>
      </c>
      <c r="H21" s="5" t="s">
        <v>381</v>
      </c>
    </row>
    <row r="22" spans="2:8">
      <c r="B22" s="5" t="s">
        <v>382</v>
      </c>
      <c r="C22" s="4" t="s">
        <v>383</v>
      </c>
      <c r="D22" s="4" t="s">
        <v>384</v>
      </c>
      <c r="E22" s="4" t="s">
        <v>385</v>
      </c>
      <c r="F22" s="4"/>
      <c r="G22" s="4" t="str">
        <f>IF(F22="","",IF(F22&gt;0.05,"Rojo",IF(F22&gt;0.02,"Amarillo","Verde")))</f>
        <v/>
      </c>
      <c r="H22" s="5" t="s">
        <v>386</v>
      </c>
    </row>
    <row r="23" spans="2:8">
      <c r="B23" s="5" t="s">
        <v>387</v>
      </c>
      <c r="C23" s="4" t="s">
        <v>388</v>
      </c>
      <c r="D23" s="4" t="s">
        <v>389</v>
      </c>
      <c r="E23" s="4" t="s">
        <v>390</v>
      </c>
      <c r="F23" s="4"/>
      <c r="G23" s="4" t="str">
        <f>IF(F23="","",IF(F23&lt;0.995,"Rojo",IF(F23&lt;1,"Amarillo","Verde")))</f>
        <v/>
      </c>
      <c r="H23" s="5" t="s">
        <v>391</v>
      </c>
    </row>
    <row r="24" spans="2:8">
      <c r="B24" s="5" t="s">
        <v>392</v>
      </c>
      <c r="C24" s="4" t="s">
        <v>393</v>
      </c>
      <c r="D24" s="4" t="s">
        <v>394</v>
      </c>
      <c r="E24" s="4" t="s">
        <v>395</v>
      </c>
      <c r="F24" s="4"/>
      <c r="G24" s="4" t="str">
        <f>IF(F24="","",IF(F24&gt;7,"Rojo",IF(F24&gt;0,"Amarillo","Verde")))</f>
        <v/>
      </c>
      <c r="H24" s="5" t="s">
        <v>396</v>
      </c>
    </row>
  </sheetData>
  <mergeCells count="2">
    <mergeCell ref="B2:I2"/>
    <mergeCell ref="B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"/>
  <sheetViews>
    <sheetView showGridLines="0" tabSelected="1" workbookViewId="0">
      <selection activeCell="B26" sqref="B26"/>
    </sheetView>
  </sheetViews>
  <sheetFormatPr defaultRowHeight="15"/>
  <cols>
    <col min="2" max="2" width="50" customWidth="1"/>
    <col min="3" max="3" width="12" customWidth="1"/>
    <col min="4" max="9" width="10" customWidth="1"/>
  </cols>
  <sheetData>
    <row r="2" spans="2:9">
      <c r="B2" s="12" t="s">
        <v>397</v>
      </c>
      <c r="C2" s="13"/>
      <c r="D2" s="13"/>
      <c r="E2" s="13"/>
      <c r="F2" s="13"/>
      <c r="G2" s="13"/>
      <c r="H2" s="13"/>
      <c r="I2" s="13"/>
    </row>
    <row r="4" spans="2:9">
      <c r="B4" s="2" t="s">
        <v>398</v>
      </c>
      <c r="C4" s="2" t="s">
        <v>52</v>
      </c>
      <c r="D4" s="2" t="s">
        <v>113</v>
      </c>
      <c r="E4" s="2" t="s">
        <v>165</v>
      </c>
      <c r="F4" s="2" t="s">
        <v>182</v>
      </c>
      <c r="G4" s="2" t="s">
        <v>192</v>
      </c>
      <c r="H4" s="2" t="s">
        <v>204</v>
      </c>
      <c r="I4" s="2" t="s">
        <v>212</v>
      </c>
    </row>
    <row r="5" spans="2:9">
      <c r="B5" s="5" t="s">
        <v>51</v>
      </c>
      <c r="C5" s="6">
        <f>IFERROR(COUNTIFS('Lista de Chequeo'!A:A,B5,'Lista de Chequeo'!D:D,"*"&amp;"Todas"&amp;"*",'Lista de Chequeo'!H:H,"Cumplido")/MAX(1,COUNTIFS('Lista de Chequeo'!A:A,B5,'Lista de Chequeo'!D:D,"*"&amp;"Todas"&amp;"*")),0)</f>
        <v>0</v>
      </c>
      <c r="D5" s="6">
        <f>IFERROR(COUNTIFS('Lista de Chequeo'!A:A,B5,'Lista de Chequeo'!D:D,"*"&amp;"Cat 1"&amp;"*",'Lista de Chequeo'!H:H,"Cumplido")/MAX(1,COUNTIFS('Lista de Chequeo'!A:A,B5,'Lista de Chequeo'!D:D,"*"&amp;"Cat 1"&amp;"*")),0)</f>
        <v>0</v>
      </c>
      <c r="E5" s="6">
        <f>IFERROR(COUNTIFS('Lista de Chequeo'!A:A,B5,'Lista de Chequeo'!D:D,"*"&amp;"Cat 2"&amp;"*",'Lista de Chequeo'!H:H,"Cumplido")/MAX(1,COUNTIFS('Lista de Chequeo'!A:A,B5,'Lista de Chequeo'!D:D,"*"&amp;"Cat 2"&amp;"*")),0)</f>
        <v>0</v>
      </c>
      <c r="F5" s="6">
        <f>IFERROR(COUNTIFS('Lista de Chequeo'!A:A,B5,'Lista de Chequeo'!D:D,"*"&amp;"Cat 3"&amp;"*",'Lista de Chequeo'!H:H,"Cumplido")/MAX(1,COUNTIFS('Lista de Chequeo'!A:A,B5,'Lista de Chequeo'!D:D,"*"&amp;"Cat 3"&amp;"*")),0)</f>
        <v>0</v>
      </c>
      <c r="G5" s="6">
        <f>IFERROR(COUNTIFS('Lista de Chequeo'!A:A,B5,'Lista de Chequeo'!D:D,"*"&amp;"Cat 4"&amp;"*",'Lista de Chequeo'!H:H,"Cumplido")/MAX(1,COUNTIFS('Lista de Chequeo'!A:A,B5,'Lista de Chequeo'!D:D,"*"&amp;"Cat 4"&amp;"*")),0)</f>
        <v>0</v>
      </c>
      <c r="H5" s="6">
        <f>IFERROR(COUNTIFS('Lista de Chequeo'!A:A,B5,'Lista de Chequeo'!D:D,"*"&amp;"Cat 5"&amp;"*",'Lista de Chequeo'!H:H,"Cumplido")/MAX(1,COUNTIFS('Lista de Chequeo'!A:A,B5,'Lista de Chequeo'!D:D,"*"&amp;"Cat 5"&amp;"*")),0)</f>
        <v>0</v>
      </c>
      <c r="I5" s="6">
        <f>IFERROR(COUNTIFS('Lista de Chequeo'!A:A,B5,'Lista de Chequeo'!D:D,"*"&amp;"Cat 6"&amp;"*",'Lista de Chequeo'!H:H,"Cumplido")/MAX(1,COUNTIFS('Lista de Chequeo'!A:A,B5,'Lista de Chequeo'!D:D,"*"&amp;"Cat 6"&amp;"*")),0)</f>
        <v>0</v>
      </c>
    </row>
    <row r="6" spans="2:9">
      <c r="B6" s="5" t="s">
        <v>76</v>
      </c>
      <c r="C6" s="6">
        <f>IFERROR(COUNTIFS('Lista de Chequeo'!A:A,B6,'Lista de Chequeo'!D:D,"*"&amp;"Todas"&amp;"*",'Lista de Chequeo'!H:H,"Cumplido")/MAX(1,COUNTIFS('Lista de Chequeo'!A:A,B6,'Lista de Chequeo'!D:D,"*"&amp;"Todas"&amp;"*")),0)</f>
        <v>0</v>
      </c>
      <c r="D6" s="6">
        <f>IFERROR(COUNTIFS('Lista de Chequeo'!A:A,B6,'Lista de Chequeo'!D:D,"*"&amp;"Cat 1"&amp;"*",'Lista de Chequeo'!H:H,"Cumplido")/MAX(1,COUNTIFS('Lista de Chequeo'!A:A,B6,'Lista de Chequeo'!D:D,"*"&amp;"Cat 1"&amp;"*")),0)</f>
        <v>0</v>
      </c>
      <c r="E6" s="6">
        <f>IFERROR(COUNTIFS('Lista de Chequeo'!A:A,B6,'Lista de Chequeo'!D:D,"*"&amp;"Cat 2"&amp;"*",'Lista de Chequeo'!H:H,"Cumplido")/MAX(1,COUNTIFS('Lista de Chequeo'!A:A,B6,'Lista de Chequeo'!D:D,"*"&amp;"Cat 2"&amp;"*")),0)</f>
        <v>0</v>
      </c>
      <c r="F6" s="6">
        <f>IFERROR(COUNTIFS('Lista de Chequeo'!A:A,B6,'Lista de Chequeo'!D:D,"*"&amp;"Cat 3"&amp;"*",'Lista de Chequeo'!H:H,"Cumplido")/MAX(1,COUNTIFS('Lista de Chequeo'!A:A,B6,'Lista de Chequeo'!D:D,"*"&amp;"Cat 3"&amp;"*")),0)</f>
        <v>0</v>
      </c>
      <c r="G6" s="6">
        <f>IFERROR(COUNTIFS('Lista de Chequeo'!A:A,B6,'Lista de Chequeo'!D:D,"*"&amp;"Cat 4"&amp;"*",'Lista de Chequeo'!H:H,"Cumplido")/MAX(1,COUNTIFS('Lista de Chequeo'!A:A,B6,'Lista de Chequeo'!D:D,"*"&amp;"Cat 4"&amp;"*")),0)</f>
        <v>0</v>
      </c>
      <c r="H6" s="6">
        <f>IFERROR(COUNTIFS('Lista de Chequeo'!A:A,B6,'Lista de Chequeo'!D:D,"*"&amp;"Cat 5"&amp;"*",'Lista de Chequeo'!H:H,"Cumplido")/MAX(1,COUNTIFS('Lista de Chequeo'!A:A,B6,'Lista de Chequeo'!D:D,"*"&amp;"Cat 5"&amp;"*")),0)</f>
        <v>0</v>
      </c>
      <c r="I6" s="6">
        <f>IFERROR(COUNTIFS('Lista de Chequeo'!A:A,B6,'Lista de Chequeo'!D:D,"*"&amp;"Cat 6"&amp;"*",'Lista de Chequeo'!H:H,"Cumplido")/MAX(1,COUNTIFS('Lista de Chequeo'!A:A,B6,'Lista de Chequeo'!D:D,"*"&amp;"Cat 6"&amp;"*")),0)</f>
        <v>0</v>
      </c>
    </row>
    <row r="7" spans="2:9">
      <c r="B7" s="5" t="s">
        <v>129</v>
      </c>
      <c r="C7" s="6">
        <f>IFERROR(COUNTIFS('Lista de Chequeo'!A:A,B7,'Lista de Chequeo'!D:D,"*"&amp;"Todas"&amp;"*",'Lista de Chequeo'!H:H,"Cumplido")/MAX(1,COUNTIFS('Lista de Chequeo'!A:A,B7,'Lista de Chequeo'!D:D,"*"&amp;"Todas"&amp;"*")),0)</f>
        <v>0</v>
      </c>
      <c r="D7" s="6">
        <f>IFERROR(COUNTIFS('Lista de Chequeo'!A:A,B7,'Lista de Chequeo'!D:D,"*"&amp;"Cat 1"&amp;"*",'Lista de Chequeo'!H:H,"Cumplido")/MAX(1,COUNTIFS('Lista de Chequeo'!A:A,B7,'Lista de Chequeo'!D:D,"*"&amp;"Cat 1"&amp;"*")),0)</f>
        <v>0</v>
      </c>
      <c r="E7" s="6">
        <f>IFERROR(COUNTIFS('Lista de Chequeo'!A:A,B7,'Lista de Chequeo'!D:D,"*"&amp;"Cat 2"&amp;"*",'Lista de Chequeo'!H:H,"Cumplido")/MAX(1,COUNTIFS('Lista de Chequeo'!A:A,B7,'Lista de Chequeo'!D:D,"*"&amp;"Cat 2"&amp;"*")),0)</f>
        <v>0</v>
      </c>
      <c r="F7" s="6">
        <f>IFERROR(COUNTIFS('Lista de Chequeo'!A:A,B7,'Lista de Chequeo'!D:D,"*"&amp;"Cat 3"&amp;"*",'Lista de Chequeo'!H:H,"Cumplido")/MAX(1,COUNTIFS('Lista de Chequeo'!A:A,B7,'Lista de Chequeo'!D:D,"*"&amp;"Cat 3"&amp;"*")),0)</f>
        <v>0</v>
      </c>
      <c r="G7" s="6">
        <f>IFERROR(COUNTIFS('Lista de Chequeo'!A:A,B7,'Lista de Chequeo'!D:D,"*"&amp;"Cat 4"&amp;"*",'Lista de Chequeo'!H:H,"Cumplido")/MAX(1,COUNTIFS('Lista de Chequeo'!A:A,B7,'Lista de Chequeo'!D:D,"*"&amp;"Cat 4"&amp;"*")),0)</f>
        <v>0</v>
      </c>
      <c r="H7" s="6">
        <f>IFERROR(COUNTIFS('Lista de Chequeo'!A:A,B7,'Lista de Chequeo'!D:D,"*"&amp;"Cat 5"&amp;"*",'Lista de Chequeo'!H:H,"Cumplido")/MAX(1,COUNTIFS('Lista de Chequeo'!A:A,B7,'Lista de Chequeo'!D:D,"*"&amp;"Cat 5"&amp;"*")),0)</f>
        <v>0</v>
      </c>
      <c r="I7" s="6">
        <f>IFERROR(COUNTIFS('Lista de Chequeo'!A:A,B7,'Lista de Chequeo'!D:D,"*"&amp;"Cat 6"&amp;"*",'Lista de Chequeo'!H:H,"Cumplido")/MAX(1,COUNTIFS('Lista de Chequeo'!A:A,B7,'Lista de Chequeo'!D:D,"*"&amp;"Cat 6"&amp;"*")),0)</f>
        <v>0</v>
      </c>
    </row>
    <row r="8" spans="2:9">
      <c r="B8" s="5" t="s">
        <v>168</v>
      </c>
      <c r="C8" s="6">
        <f>IFERROR(COUNTIFS('Lista de Chequeo'!A:A,B8,'Lista de Chequeo'!D:D,"*"&amp;"Todas"&amp;"*",'Lista de Chequeo'!H:H,"Cumplido")/MAX(1,COUNTIFS('Lista de Chequeo'!A:A,B8,'Lista de Chequeo'!D:D,"*"&amp;"Todas"&amp;"*")),0)</f>
        <v>0</v>
      </c>
      <c r="D8" s="6">
        <f>IFERROR(COUNTIFS('Lista de Chequeo'!A:A,B8,'Lista de Chequeo'!D:D,"*"&amp;"Cat 1"&amp;"*",'Lista de Chequeo'!H:H,"Cumplido")/MAX(1,COUNTIFS('Lista de Chequeo'!A:A,B8,'Lista de Chequeo'!D:D,"*"&amp;"Cat 1"&amp;"*")),0)</f>
        <v>0</v>
      </c>
      <c r="E8" s="6">
        <f>IFERROR(COUNTIFS('Lista de Chequeo'!A:A,B8,'Lista de Chequeo'!D:D,"*"&amp;"Cat 2"&amp;"*",'Lista de Chequeo'!H:H,"Cumplido")/MAX(1,COUNTIFS('Lista de Chequeo'!A:A,B8,'Lista de Chequeo'!D:D,"*"&amp;"Cat 2"&amp;"*")),0)</f>
        <v>0</v>
      </c>
      <c r="F8" s="6">
        <f>IFERROR(COUNTIFS('Lista de Chequeo'!A:A,B8,'Lista de Chequeo'!D:D,"*"&amp;"Cat 3"&amp;"*",'Lista de Chequeo'!H:H,"Cumplido")/MAX(1,COUNTIFS('Lista de Chequeo'!A:A,B8,'Lista de Chequeo'!D:D,"*"&amp;"Cat 3"&amp;"*")),0)</f>
        <v>0</v>
      </c>
      <c r="G8" s="6">
        <f>IFERROR(COUNTIFS('Lista de Chequeo'!A:A,B8,'Lista de Chequeo'!D:D,"*"&amp;"Cat 4"&amp;"*",'Lista de Chequeo'!H:H,"Cumplido")/MAX(1,COUNTIFS('Lista de Chequeo'!A:A,B8,'Lista de Chequeo'!D:D,"*"&amp;"Cat 4"&amp;"*")),0)</f>
        <v>0</v>
      </c>
      <c r="H8" s="6">
        <f>IFERROR(COUNTIFS('Lista de Chequeo'!A:A,B8,'Lista de Chequeo'!D:D,"*"&amp;"Cat 5"&amp;"*",'Lista de Chequeo'!H:H,"Cumplido")/MAX(1,COUNTIFS('Lista de Chequeo'!A:A,B8,'Lista de Chequeo'!D:D,"*"&amp;"Cat 5"&amp;"*")),0)</f>
        <v>0</v>
      </c>
      <c r="I8" s="6">
        <f>IFERROR(COUNTIFS('Lista de Chequeo'!A:A,B8,'Lista de Chequeo'!D:D,"*"&amp;"Cat 6"&amp;"*",'Lista de Chequeo'!H:H,"Cumplido")/MAX(1,COUNTIFS('Lista de Chequeo'!A:A,B8,'Lista de Chequeo'!D:D,"*"&amp;"Cat 6"&amp;"*")),0)</f>
        <v>0</v>
      </c>
    </row>
    <row r="9" spans="2:9">
      <c r="B9" s="5" t="s">
        <v>233</v>
      </c>
      <c r="C9" s="6">
        <f>IFERROR(COUNTIFS('Lista de Chequeo'!A:A,B9,'Lista de Chequeo'!D:D,"*"&amp;"Todas"&amp;"*",'Lista de Chequeo'!H:H,"Cumplido")/MAX(1,COUNTIFS('Lista de Chequeo'!A:A,B9,'Lista de Chequeo'!D:D,"*"&amp;"Todas"&amp;"*")),0)</f>
        <v>0</v>
      </c>
      <c r="D9" s="6">
        <f>IFERROR(COUNTIFS('Lista de Chequeo'!A:A,B9,'Lista de Chequeo'!D:D,"*"&amp;"Cat 1"&amp;"*",'Lista de Chequeo'!H:H,"Cumplido")/MAX(1,COUNTIFS('Lista de Chequeo'!A:A,B9,'Lista de Chequeo'!D:D,"*"&amp;"Cat 1"&amp;"*")),0)</f>
        <v>0</v>
      </c>
      <c r="E9" s="6">
        <f>IFERROR(COUNTIFS('Lista de Chequeo'!A:A,B9,'Lista de Chequeo'!D:D,"*"&amp;"Cat 2"&amp;"*",'Lista de Chequeo'!H:H,"Cumplido")/MAX(1,COUNTIFS('Lista de Chequeo'!A:A,B9,'Lista de Chequeo'!D:D,"*"&amp;"Cat 2"&amp;"*")),0)</f>
        <v>0</v>
      </c>
      <c r="F9" s="6">
        <f>IFERROR(COUNTIFS('Lista de Chequeo'!A:A,B9,'Lista de Chequeo'!D:D,"*"&amp;"Cat 3"&amp;"*",'Lista de Chequeo'!H:H,"Cumplido")/MAX(1,COUNTIFS('Lista de Chequeo'!A:A,B9,'Lista de Chequeo'!D:D,"*"&amp;"Cat 3"&amp;"*")),0)</f>
        <v>0</v>
      </c>
      <c r="G9" s="6">
        <f>IFERROR(COUNTIFS('Lista de Chequeo'!A:A,B9,'Lista de Chequeo'!D:D,"*"&amp;"Cat 4"&amp;"*",'Lista de Chequeo'!H:H,"Cumplido")/MAX(1,COUNTIFS('Lista de Chequeo'!A:A,B9,'Lista de Chequeo'!D:D,"*"&amp;"Cat 4"&amp;"*")),0)</f>
        <v>0</v>
      </c>
      <c r="H9" s="6">
        <f>IFERROR(COUNTIFS('Lista de Chequeo'!A:A,B9,'Lista de Chequeo'!D:D,"*"&amp;"Cat 5"&amp;"*",'Lista de Chequeo'!H:H,"Cumplido")/MAX(1,COUNTIFS('Lista de Chequeo'!A:A,B9,'Lista de Chequeo'!D:D,"*"&amp;"Cat 5"&amp;"*")),0)</f>
        <v>0</v>
      </c>
      <c r="I9" s="6">
        <f>IFERROR(COUNTIFS('Lista de Chequeo'!A:A,B9,'Lista de Chequeo'!D:D,"*"&amp;"Cat 6"&amp;"*",'Lista de Chequeo'!H:H,"Cumplido")/MAX(1,COUNTIFS('Lista de Chequeo'!A:A,B9,'Lista de Chequeo'!D:D,"*"&amp;"Cat 6"&amp;"*")),0)</f>
        <v>0</v>
      </c>
    </row>
    <row r="10" spans="2:9">
      <c r="B10" s="5" t="s">
        <v>273</v>
      </c>
      <c r="C10" s="6">
        <f>IFERROR(COUNTIFS('Lista de Chequeo'!A:A,B10,'Lista de Chequeo'!D:D,"*"&amp;"Todas"&amp;"*",'Lista de Chequeo'!H:H,"Cumplido")/MAX(1,COUNTIFS('Lista de Chequeo'!A:A,B10,'Lista de Chequeo'!D:D,"*"&amp;"Todas"&amp;"*")),0)</f>
        <v>0</v>
      </c>
      <c r="D10" s="6">
        <f>IFERROR(COUNTIFS('Lista de Chequeo'!A:A,B10,'Lista de Chequeo'!D:D,"*"&amp;"Cat 1"&amp;"*",'Lista de Chequeo'!H:H,"Cumplido")/MAX(1,COUNTIFS('Lista de Chequeo'!A:A,B10,'Lista de Chequeo'!D:D,"*"&amp;"Cat 1"&amp;"*")),0)</f>
        <v>0</v>
      </c>
      <c r="E10" s="6">
        <f>IFERROR(COUNTIFS('Lista de Chequeo'!A:A,B10,'Lista de Chequeo'!D:D,"*"&amp;"Cat 2"&amp;"*",'Lista de Chequeo'!H:H,"Cumplido")/MAX(1,COUNTIFS('Lista de Chequeo'!A:A,B10,'Lista de Chequeo'!D:D,"*"&amp;"Cat 2"&amp;"*")),0)</f>
        <v>0</v>
      </c>
      <c r="F10" s="6">
        <f>IFERROR(COUNTIFS('Lista de Chequeo'!A:A,B10,'Lista de Chequeo'!D:D,"*"&amp;"Cat 3"&amp;"*",'Lista de Chequeo'!H:H,"Cumplido")/MAX(1,COUNTIFS('Lista de Chequeo'!A:A,B10,'Lista de Chequeo'!D:D,"*"&amp;"Cat 3"&amp;"*")),0)</f>
        <v>0</v>
      </c>
      <c r="G10" s="6">
        <f>IFERROR(COUNTIFS('Lista de Chequeo'!A:A,B10,'Lista de Chequeo'!D:D,"*"&amp;"Cat 4"&amp;"*",'Lista de Chequeo'!H:H,"Cumplido")/MAX(1,COUNTIFS('Lista de Chequeo'!A:A,B10,'Lista de Chequeo'!D:D,"*"&amp;"Cat 4"&amp;"*")),0)</f>
        <v>0</v>
      </c>
      <c r="H10" s="6">
        <f>IFERROR(COUNTIFS('Lista de Chequeo'!A:A,B10,'Lista de Chequeo'!D:D,"*"&amp;"Cat 5"&amp;"*",'Lista de Chequeo'!H:H,"Cumplido")/MAX(1,COUNTIFS('Lista de Chequeo'!A:A,B10,'Lista de Chequeo'!D:D,"*"&amp;"Cat 5"&amp;"*")),0)</f>
        <v>0</v>
      </c>
      <c r="I10" s="6">
        <f>IFERROR(COUNTIFS('Lista de Chequeo'!A:A,B10,'Lista de Chequeo'!D:D,"*"&amp;"Cat 6"&amp;"*",'Lista de Chequeo'!H:H,"Cumplido")/MAX(1,COUNTIFS('Lista de Chequeo'!A:A,B10,'Lista de Chequeo'!D:D,"*"&amp;"Cat 6"&amp;"*")),0)</f>
        <v>0</v>
      </c>
    </row>
    <row r="11" spans="2:9">
      <c r="B11" s="5" t="s">
        <v>299</v>
      </c>
      <c r="C11" s="6">
        <f>IFERROR(COUNTIFS('Lista de Chequeo'!A:A,B11,'Lista de Chequeo'!D:D,"*"&amp;"Todas"&amp;"*",'Lista de Chequeo'!H:H,"Cumplido")/MAX(1,COUNTIFS('Lista de Chequeo'!A:A,B11,'Lista de Chequeo'!D:D,"*"&amp;"Todas"&amp;"*")),0)</f>
        <v>0</v>
      </c>
      <c r="D11" s="6">
        <f>IFERROR(COUNTIFS('Lista de Chequeo'!A:A,B11,'Lista de Chequeo'!D:D,"*"&amp;"Cat 1"&amp;"*",'Lista de Chequeo'!H:H,"Cumplido")/MAX(1,COUNTIFS('Lista de Chequeo'!A:A,B11,'Lista de Chequeo'!D:D,"*"&amp;"Cat 1"&amp;"*")),0)</f>
        <v>0</v>
      </c>
      <c r="E11" s="6">
        <f>IFERROR(COUNTIFS('Lista de Chequeo'!A:A,B11,'Lista de Chequeo'!D:D,"*"&amp;"Cat 2"&amp;"*",'Lista de Chequeo'!H:H,"Cumplido")/MAX(1,COUNTIFS('Lista de Chequeo'!A:A,B11,'Lista de Chequeo'!D:D,"*"&amp;"Cat 2"&amp;"*")),0)</f>
        <v>0</v>
      </c>
      <c r="F11" s="6">
        <f>IFERROR(COUNTIFS('Lista de Chequeo'!A:A,B11,'Lista de Chequeo'!D:D,"*"&amp;"Cat 3"&amp;"*",'Lista de Chequeo'!H:H,"Cumplido")/MAX(1,COUNTIFS('Lista de Chequeo'!A:A,B11,'Lista de Chequeo'!D:D,"*"&amp;"Cat 3"&amp;"*")),0)</f>
        <v>0</v>
      </c>
      <c r="G11" s="6">
        <f>IFERROR(COUNTIFS('Lista de Chequeo'!A:A,B11,'Lista de Chequeo'!D:D,"*"&amp;"Cat 4"&amp;"*",'Lista de Chequeo'!H:H,"Cumplido")/MAX(1,COUNTIFS('Lista de Chequeo'!A:A,B11,'Lista de Chequeo'!D:D,"*"&amp;"Cat 4"&amp;"*")),0)</f>
        <v>0</v>
      </c>
      <c r="H11" s="6">
        <f>IFERROR(COUNTIFS('Lista de Chequeo'!A:A,B11,'Lista de Chequeo'!D:D,"*"&amp;"Cat 5"&amp;"*",'Lista de Chequeo'!H:H,"Cumplido")/MAX(1,COUNTIFS('Lista de Chequeo'!A:A,B11,'Lista de Chequeo'!D:D,"*"&amp;"Cat 5"&amp;"*")),0)</f>
        <v>0</v>
      </c>
      <c r="I11" s="6">
        <f>IFERROR(COUNTIFS('Lista de Chequeo'!A:A,B11,'Lista de Chequeo'!D:D,"*"&amp;"Cat 6"&amp;"*",'Lista de Chequeo'!H:H,"Cumplido")/MAX(1,COUNTIFS('Lista de Chequeo'!A:A,B11,'Lista de Chequeo'!D:D,"*"&amp;"Cat 6"&amp;"*")),0)</f>
        <v>0</v>
      </c>
    </row>
    <row r="12" spans="2:9">
      <c r="B12" s="5" t="s">
        <v>330</v>
      </c>
      <c r="C12" s="6">
        <f>IFERROR(COUNTIFS('Lista de Chequeo'!A:A,B12,'Lista de Chequeo'!D:D,"*"&amp;"Todas"&amp;"*",'Lista de Chequeo'!H:H,"Cumplido")/MAX(1,COUNTIFS('Lista de Chequeo'!A:A,B12,'Lista de Chequeo'!D:D,"*"&amp;"Todas"&amp;"*")),0)</f>
        <v>0</v>
      </c>
      <c r="D12" s="6">
        <f>IFERROR(COUNTIFS('Lista de Chequeo'!A:A,B12,'Lista de Chequeo'!D:D,"*"&amp;"Cat 1"&amp;"*",'Lista de Chequeo'!H:H,"Cumplido")/MAX(1,COUNTIFS('Lista de Chequeo'!A:A,B12,'Lista de Chequeo'!D:D,"*"&amp;"Cat 1"&amp;"*")),0)</f>
        <v>0</v>
      </c>
      <c r="E12" s="6">
        <f>IFERROR(COUNTIFS('Lista de Chequeo'!A:A,B12,'Lista de Chequeo'!D:D,"*"&amp;"Cat 2"&amp;"*",'Lista de Chequeo'!H:H,"Cumplido")/MAX(1,COUNTIFS('Lista de Chequeo'!A:A,B12,'Lista de Chequeo'!D:D,"*"&amp;"Cat 2"&amp;"*")),0)</f>
        <v>0</v>
      </c>
      <c r="F12" s="6">
        <f>IFERROR(COUNTIFS('Lista de Chequeo'!A:A,B12,'Lista de Chequeo'!D:D,"*"&amp;"Cat 3"&amp;"*",'Lista de Chequeo'!H:H,"Cumplido")/MAX(1,COUNTIFS('Lista de Chequeo'!A:A,B12,'Lista de Chequeo'!D:D,"*"&amp;"Cat 3"&amp;"*")),0)</f>
        <v>0</v>
      </c>
      <c r="G12" s="6">
        <f>IFERROR(COUNTIFS('Lista de Chequeo'!A:A,B12,'Lista de Chequeo'!D:D,"*"&amp;"Cat 4"&amp;"*",'Lista de Chequeo'!H:H,"Cumplido")/MAX(1,COUNTIFS('Lista de Chequeo'!A:A,B12,'Lista de Chequeo'!D:D,"*"&amp;"Cat 4"&amp;"*")),0)</f>
        <v>0</v>
      </c>
      <c r="H12" s="6">
        <f>IFERROR(COUNTIFS('Lista de Chequeo'!A:A,B12,'Lista de Chequeo'!D:D,"*"&amp;"Cat 5"&amp;"*",'Lista de Chequeo'!H:H,"Cumplido")/MAX(1,COUNTIFS('Lista de Chequeo'!A:A,B12,'Lista de Chequeo'!D:D,"*"&amp;"Cat 5"&amp;"*")),0)</f>
        <v>0</v>
      </c>
      <c r="I12" s="6">
        <f>IFERROR(COUNTIFS('Lista de Chequeo'!A:A,B12,'Lista de Chequeo'!D:D,"*"&amp;"Cat 6"&amp;"*",'Lista de Chequeo'!H:H,"Cumplido")/MAX(1,COUNTIFS('Lista de Chequeo'!A:A,B12,'Lista de Chequeo'!D:D,"*"&amp;"Cat 6"&amp;"*")),0)</f>
        <v>0</v>
      </c>
    </row>
    <row r="15" spans="2:9">
      <c r="B15" s="1" t="s">
        <v>399</v>
      </c>
    </row>
    <row r="16" spans="2:9">
      <c r="B16" s="11" t="s">
        <v>400</v>
      </c>
      <c r="C16" s="13"/>
      <c r="D16" s="13"/>
      <c r="E16" s="13"/>
      <c r="F16" s="13"/>
      <c r="G16" s="13"/>
      <c r="H16" s="13"/>
      <c r="I16" s="13"/>
    </row>
    <row r="17" spans="2:9">
      <c r="B17" s="13"/>
      <c r="C17" s="13"/>
      <c r="D17" s="13"/>
      <c r="E17" s="13"/>
      <c r="F17" s="13"/>
      <c r="G17" s="13"/>
      <c r="H17" s="13"/>
      <c r="I17" s="13"/>
    </row>
    <row r="18" spans="2:9">
      <c r="B18" s="13"/>
      <c r="C18" s="13"/>
      <c r="D18" s="13"/>
      <c r="E18" s="13"/>
      <c r="F18" s="13"/>
      <c r="G18" s="13"/>
      <c r="H18" s="13"/>
      <c r="I18" s="13"/>
    </row>
  </sheetData>
  <mergeCells count="2">
    <mergeCell ref="B16:I18"/>
    <mergeCell ref="B2:I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f342aa-8565-4a3e-aaf0-68c8bb9b9b5e">
      <Terms xmlns="http://schemas.microsoft.com/office/infopath/2007/PartnerControls"/>
    </lcf76f155ced4ddcb4097134ff3c332f>
    <Ubicaci_x00f3_n xmlns="b3f342aa-8565-4a3e-aaf0-68c8bb9b9b5e" xsi:nil="true"/>
    <TaxCatchAll xmlns="f1a14238-f7f8-4013-a1f9-dc55fc6e9b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63E78667300A4881972F843CB94C64" ma:contentTypeVersion="22" ma:contentTypeDescription="Crear nuevo documento." ma:contentTypeScope="" ma:versionID="6473ec3179e2d47c3b58255bb13ebbb0">
  <xsd:schema xmlns:xsd="http://www.w3.org/2001/XMLSchema" xmlns:xs="http://www.w3.org/2001/XMLSchema" xmlns:p="http://schemas.microsoft.com/office/2006/metadata/properties" xmlns:ns2="f1a14238-f7f8-4013-a1f9-dc55fc6e9bca" xmlns:ns3="b3f342aa-8565-4a3e-aaf0-68c8bb9b9b5e" targetNamespace="http://schemas.microsoft.com/office/2006/metadata/properties" ma:root="true" ma:fieldsID="326a129161e47b44bd88d39c35611bc9" ns2:_="" ns3:_="">
    <xsd:import namespace="f1a14238-f7f8-4013-a1f9-dc55fc6e9bca"/>
    <xsd:import namespace="b3f342aa-8565-4a3e-aaf0-68c8bb9b9b5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Ubicaci_x00f3_n" minOccurs="0"/>
                <xsd:element ref="ns3:CountryOrRegion205bc43f-dd9a-43c4-8ed4-347c162aff32" minOccurs="0"/>
                <xsd:element ref="ns3:State205bc43f-dd9a-43c4-8ed4-347c162aff32" minOccurs="0"/>
                <xsd:element ref="ns3:City205bc43f-dd9a-43c4-8ed4-347c162aff32" minOccurs="0"/>
                <xsd:element ref="ns3:PostalCode205bc43f-dd9a-43c4-8ed4-347c162aff32" minOccurs="0"/>
                <xsd:element ref="ns3:Street205bc43f-dd9a-43c4-8ed4-347c162aff32" minOccurs="0"/>
                <xsd:element ref="ns3:GeoLoc205bc43f-dd9a-43c4-8ed4-347c162aff32" minOccurs="0"/>
                <xsd:element ref="ns3:DispName205bc43f-dd9a-43c4-8ed4-347c162aff3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14238-f7f8-4013-a1f9-dc55fc6e9bca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dd9d0677-c93f-4acc-a349-8d15a88d460b}" ma:internalName="TaxCatchAll" ma:showField="CatchAllData" ma:web="f1a14238-f7f8-4013-a1f9-dc55fc6e9b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342aa-8565-4a3e-aaf0-68c8bb9b9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d0e0d-37bf-43ef-b697-963770d2cb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Ubicaci_x00f3_n" ma:index="22" nillable="true" ma:displayName="Ubicación" ma:format="Dropdown" ma:internalName="Ubicaci_x00f3_n">
      <xsd:simpleType>
        <xsd:restriction base="dms:Unknown"/>
      </xsd:simpleType>
    </xsd:element>
    <xsd:element name="CountryOrRegion205bc43f-dd9a-43c4-8ed4-347c162aff32" ma:index="23" nillable="true" ma:displayName="Ubicación: País o región" ma:internalName="CountryOrRegion" ma:readOnly="true">
      <xsd:simpleType>
        <xsd:restriction base="dms:Text"/>
      </xsd:simpleType>
    </xsd:element>
    <xsd:element name="State205bc43f-dd9a-43c4-8ed4-347c162aff32" ma:index="24" nillable="true" ma:displayName="Ubicación: estado" ma:internalName="State" ma:readOnly="true">
      <xsd:simpleType>
        <xsd:restriction base="dms:Text"/>
      </xsd:simpleType>
    </xsd:element>
    <xsd:element name="City205bc43f-dd9a-43c4-8ed4-347c162aff32" ma:index="25" nillable="true" ma:displayName="Ubicación: ciudad" ma:internalName="City" ma:readOnly="true">
      <xsd:simpleType>
        <xsd:restriction base="dms:Text"/>
      </xsd:simpleType>
    </xsd:element>
    <xsd:element name="PostalCode205bc43f-dd9a-43c4-8ed4-347c162aff32" ma:index="26" nillable="true" ma:displayName="Ubicación: Código postal" ma:internalName="PostalCode" ma:readOnly="true">
      <xsd:simpleType>
        <xsd:restriction base="dms:Text"/>
      </xsd:simpleType>
    </xsd:element>
    <xsd:element name="Street205bc43f-dd9a-43c4-8ed4-347c162aff32" ma:index="27" nillable="true" ma:displayName="Ubicación: calle" ma:internalName="Street" ma:readOnly="true">
      <xsd:simpleType>
        <xsd:restriction base="dms:Text"/>
      </xsd:simpleType>
    </xsd:element>
    <xsd:element name="GeoLoc205bc43f-dd9a-43c4-8ed4-347c162aff32" ma:index="28" nillable="true" ma:displayName="Ubicación: coordenadas" ma:internalName="GeoLoc" ma:readOnly="true">
      <xsd:simpleType>
        <xsd:restriction base="dms:Unknown"/>
      </xsd:simpleType>
    </xsd:element>
    <xsd:element name="DispName205bc43f-dd9a-43c4-8ed4-347c162aff32" ma:index="29" nillable="true" ma:displayName="Ubicación: nombr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BC9CA-25CE-4B2F-9374-69B7174C826A}"/>
</file>

<file path=customXml/itemProps2.xml><?xml version="1.0" encoding="utf-8"?>
<ds:datastoreItem xmlns:ds="http://schemas.openxmlformats.org/officeDocument/2006/customXml" ds:itemID="{A08441CC-51CC-4E58-AF90-9E83051B09C1}"/>
</file>

<file path=customXml/itemProps3.xml><?xml version="1.0" encoding="utf-8"?>
<ds:datastoreItem xmlns:ds="http://schemas.openxmlformats.org/officeDocument/2006/customXml" ds:itemID="{83CED7F8-BEF9-4EE5-B72C-CBEEA5381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2026-05-19T01:44:43Z</dcterms:created>
  <dcterms:modified xsi:type="dcterms:W3CDTF">2026-09-18T20:11:39Z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0x0101007D63E78667300A4881972F843CB94C64</vt:lpwstr>
  </property>
  <property fmtid="{D5CDD505-2E9C-101B-9397-08002B2CF9AE}" pid="3" name="MediaServiceImageTags">
    <vt:lpwstr/>
  </property>
</Properties>
</file>